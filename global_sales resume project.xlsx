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Desktop\sales-perfomance-excel-dashboard\"/>
    </mc:Choice>
  </mc:AlternateContent>
  <bookViews>
    <workbookView xWindow="0" yWindow="0" windowWidth="19200" windowHeight="7310" activeTab="5"/>
  </bookViews>
  <sheets>
    <sheet name="global_sales" sheetId="1" r:id="rId1"/>
    <sheet name="Sheet1" sheetId="6" r:id="rId2"/>
    <sheet name="Sheet2" sheetId="7" r:id="rId3"/>
    <sheet name="demand" sheetId="8" r:id="rId4"/>
    <sheet name="prioritization" sheetId="9" r:id="rId5"/>
    <sheet name="dashboard" sheetId="10" r:id="rId6"/>
  </sheets>
  <definedNames>
    <definedName name="Slicer_Quarters">#N/A</definedName>
  </definedNames>
  <calcPr calcId="152511"/>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I5" i="7" l="1"/>
  <c r="F6" i="7"/>
  <c r="F5" i="7"/>
  <c r="F15" i="7"/>
  <c r="F16" i="7"/>
  <c r="F8" i="7"/>
  <c r="F11" i="7"/>
  <c r="F17" i="7"/>
  <c r="F7" i="7"/>
  <c r="F14" i="7"/>
  <c r="F13" i="7"/>
  <c r="F12" i="7"/>
  <c r="F10" i="7"/>
  <c r="F9" i="7"/>
  <c r="I6" i="10"/>
  <c r="E6" i="10"/>
  <c r="M6" i="10" l="1"/>
  <c r="I5" i="9"/>
  <c r="I6" i="9"/>
  <c r="I4" i="9"/>
  <c r="D5" i="9" l="1"/>
  <c r="D6" i="9"/>
  <c r="D7" i="9"/>
  <c r="D4" i="9"/>
  <c r="D5" i="6" l="1"/>
  <c r="D6" i="6"/>
  <c r="D7" i="6"/>
  <c r="D4" i="6"/>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alcChain>
</file>

<file path=xl/sharedStrings.xml><?xml version="1.0" encoding="utf-8"?>
<sst xmlns="http://schemas.openxmlformats.org/spreadsheetml/2006/main" count="7815" uniqueCount="74">
  <si>
    <t>Date</t>
  </si>
  <si>
    <t>Region</t>
  </si>
  <si>
    <t>Product</t>
  </si>
  <si>
    <t>Salesperson</t>
  </si>
  <si>
    <t>Units_Sold</t>
  </si>
  <si>
    <t>Unit_Price</t>
  </si>
  <si>
    <t>Category</t>
  </si>
  <si>
    <t>Revenue</t>
  </si>
  <si>
    <t>Cost</t>
  </si>
  <si>
    <t>Profit</t>
  </si>
  <si>
    <t>North</t>
  </si>
  <si>
    <t>Smartwatch</t>
  </si>
  <si>
    <t>Hannah</t>
  </si>
  <si>
    <t>Accessories</t>
  </si>
  <si>
    <t>Monitor</t>
  </si>
  <si>
    <t>Eva</t>
  </si>
  <si>
    <t>Office</t>
  </si>
  <si>
    <t>Mobile</t>
  </si>
  <si>
    <t>Bob</t>
  </si>
  <si>
    <t>Electronics</t>
  </si>
  <si>
    <t>West</t>
  </si>
  <si>
    <t>Charlie</t>
  </si>
  <si>
    <t>Headphones</t>
  </si>
  <si>
    <t>East</t>
  </si>
  <si>
    <t>Camera</t>
  </si>
  <si>
    <t>Grace</t>
  </si>
  <si>
    <t>Laptop</t>
  </si>
  <si>
    <t>South</t>
  </si>
  <si>
    <t>Printer</t>
  </si>
  <si>
    <t>Alice</t>
  </si>
  <si>
    <t>David</t>
  </si>
  <si>
    <t>Tablet</t>
  </si>
  <si>
    <t>Frank</t>
  </si>
  <si>
    <t>tabllet</t>
  </si>
  <si>
    <t>MOBLIE</t>
  </si>
  <si>
    <t>SMARTWATCH</t>
  </si>
  <si>
    <t>south</t>
  </si>
  <si>
    <t>westt</t>
  </si>
  <si>
    <t>headPhones</t>
  </si>
  <si>
    <t>Easst</t>
  </si>
  <si>
    <t>laptop</t>
  </si>
  <si>
    <t>NORTH</t>
  </si>
  <si>
    <t>north</t>
  </si>
  <si>
    <t>Unknown</t>
  </si>
  <si>
    <t>unknown</t>
  </si>
  <si>
    <r>
      <t xml:space="preserve">Margin </t>
    </r>
    <r>
      <rPr>
        <strike/>
        <sz val="11"/>
        <color theme="1"/>
        <rFont val="Calibri"/>
        <family val="2"/>
        <scheme val="minor"/>
      </rPr>
      <t>%</t>
    </r>
  </si>
  <si>
    <t>Sum of Revenue</t>
  </si>
  <si>
    <t>Row Labels</t>
  </si>
  <si>
    <t>Grand Total</t>
  </si>
  <si>
    <t>Jan</t>
  </si>
  <si>
    <t>Feb</t>
  </si>
  <si>
    <t>Mar</t>
  </si>
  <si>
    <t>Apr</t>
  </si>
  <si>
    <t>May</t>
  </si>
  <si>
    <t>Jun</t>
  </si>
  <si>
    <t>Jul</t>
  </si>
  <si>
    <t>Aug</t>
  </si>
  <si>
    <t>Sep</t>
  </si>
  <si>
    <t>Oct</t>
  </si>
  <si>
    <t>Nov</t>
  </si>
  <si>
    <t>Dec</t>
  </si>
  <si>
    <t>Sum of Profit</t>
  </si>
  <si>
    <t>margin</t>
  </si>
  <si>
    <t>Sum of Units_Sold</t>
  </si>
  <si>
    <t>jan</t>
  </si>
  <si>
    <t>Month</t>
  </si>
  <si>
    <t>Margin</t>
  </si>
  <si>
    <t>category</t>
  </si>
  <si>
    <t>total</t>
  </si>
  <si>
    <t>Qtr1</t>
  </si>
  <si>
    <t>Qtr2</t>
  </si>
  <si>
    <t>Qtr3</t>
  </si>
  <si>
    <t>Qtr4</t>
  </si>
  <si>
    <t>Qt3 has the lowest revenue and profit overall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</si>
</sst>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trike/>
      <sz val="11"/>
      <color theme="1"/>
      <name val="Calibri"/>
      <family val="2"/>
      <scheme val="minor"/>
    </font>
    <font>
      <sz val="12"/>
      <color theme="1"/>
      <name val="Calibri"/>
      <family val="2"/>
      <scheme val="minor"/>
    </font>
    <font>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8"/>
        <bgColor indexed="64"/>
      </patternFill>
    </fill>
    <fill>
      <patternFill patternType="solid">
        <fgColor theme="4"/>
        <bgColor indexed="64"/>
      </patternFill>
    </fill>
    <fill>
      <patternFill patternType="solid">
        <fgColor theme="4" tint="0.79998168889431442"/>
        <bgColor theme="4" tint="0.79998168889431442"/>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1">
    <xf numFmtId="0" fontId="0" fillId="0" borderId="0" xfId="0"/>
    <xf numFmtId="14" fontId="0" fillId="0" borderId="0" xfId="0" applyNumberFormat="1"/>
    <xf numFmtId="2" fontId="0" fillId="0" borderId="0" xfId="0" applyNumberFormat="1"/>
    <xf numFmtId="49" fontId="0" fillId="0" borderId="0" xfId="0" applyNumberFormat="1"/>
    <xf numFmtId="1" fontId="0" fillId="0" borderId="0" xfId="0" applyNumberFormat="1"/>
    <xf numFmtId="10" fontId="0" fillId="0" borderId="0" xfId="0" applyNumberFormat="1"/>
    <xf numFmtId="0" fontId="0" fillId="0" borderId="0" xfId="0" applyNumberFormat="1"/>
    <xf numFmtId="0" fontId="0" fillId="0" borderId="0" xfId="0" pivotButton="1"/>
    <xf numFmtId="14" fontId="0" fillId="0" borderId="0" xfId="0" applyNumberFormat="1" applyAlignment="1">
      <alignment horizontal="left"/>
    </xf>
    <xf numFmtId="0" fontId="0" fillId="33" borderId="0" xfId="0" applyFill="1"/>
    <xf numFmtId="164" fontId="0" fillId="0" borderId="0" xfId="0" applyNumberFormat="1"/>
    <xf numFmtId="0" fontId="0" fillId="0" borderId="0" xfId="0" applyFill="1"/>
    <xf numFmtId="0" fontId="0" fillId="34" borderId="10" xfId="0" applyFill="1" applyBorder="1"/>
    <xf numFmtId="0" fontId="0" fillId="34" borderId="11" xfId="0" applyFill="1" applyBorder="1"/>
    <xf numFmtId="0" fontId="0" fillId="0" borderId="12" xfId="0" applyBorder="1"/>
    <xf numFmtId="164" fontId="0" fillId="0" borderId="13" xfId="0" applyNumberFormat="1" applyBorder="1"/>
    <xf numFmtId="0" fontId="0" fillId="0" borderId="14" xfId="0" applyBorder="1"/>
    <xf numFmtId="164" fontId="0" fillId="0" borderId="15" xfId="0" applyNumberFormat="1" applyBorder="1"/>
    <xf numFmtId="0" fontId="0" fillId="0" borderId="0" xfId="0" applyAlignment="1">
      <alignment horizontal="left"/>
    </xf>
    <xf numFmtId="0" fontId="0" fillId="35" borderId="0" xfId="0" applyFill="1"/>
    <xf numFmtId="9" fontId="0" fillId="0" borderId="0" xfId="0" applyNumberFormat="1"/>
    <xf numFmtId="0" fontId="16" fillId="36" borderId="16" xfId="0" applyFont="1" applyFill="1" applyBorder="1"/>
    <xf numFmtId="0" fontId="16" fillId="36" borderId="17" xfId="0" applyNumberFormat="1" applyFont="1" applyFill="1" applyBorder="1"/>
    <xf numFmtId="14" fontId="16" fillId="36" borderId="17" xfId="0" applyNumberFormat="1" applyFont="1" applyFill="1" applyBorder="1" applyAlignment="1">
      <alignment horizontal="left"/>
    </xf>
    <xf numFmtId="0" fontId="0" fillId="0" borderId="12" xfId="0" applyFill="1" applyBorder="1"/>
    <xf numFmtId="14" fontId="0" fillId="0" borderId="0" xfId="0" applyNumberFormat="1" applyAlignment="1">
      <alignment horizontal="left" indent="1"/>
    </xf>
    <xf numFmtId="0" fontId="19" fillId="0" borderId="0" xfId="0" applyFont="1" applyAlignment="1">
      <alignment horizontal="center"/>
    </xf>
    <xf numFmtId="0" fontId="0" fillId="0" borderId="0" xfId="0" applyAlignment="1">
      <alignment horizontal="center"/>
    </xf>
    <xf numFmtId="0" fontId="20" fillId="0" borderId="0" xfId="0" applyFont="1"/>
    <xf numFmtId="0" fontId="20" fillId="0" borderId="0" xfId="0" applyFont="1" applyAlignment="1">
      <alignment horizontal="center"/>
    </xf>
    <xf numFmtId="164" fontId="20"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4" formatCode="0.00%"/>
    </dxf>
    <dxf>
      <numFmt numFmtId="30" formatCode="@"/>
    </dxf>
    <dxf>
      <numFmt numFmtId="1" formatCode="0"/>
    </dxf>
    <dxf>
      <numFmt numFmtId="1" formatCode="0"/>
    </dxf>
    <dxf>
      <numFmt numFmtId="30" formatCode="@"/>
    </dxf>
    <dxf>
      <numFmt numFmtId="30" formatCode="@"/>
    </dxf>
    <dxf>
      <numFmt numFmtId="30" formatCode="@"/>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Sheet2!$C$41</c:f>
              <c:strCache>
                <c:ptCount val="1"/>
                <c:pt idx="0">
                  <c:v>Sum of Profit</c:v>
                </c:pt>
              </c:strCache>
            </c:strRef>
          </c:tx>
          <c:spPr>
            <a:ln w="28575" cap="rnd">
              <a:solidFill>
                <a:schemeClr val="accent1"/>
              </a:solidFill>
              <a:round/>
            </a:ln>
            <a:effectLst/>
          </c:spPr>
          <c:marker>
            <c:symbol val="none"/>
          </c:marker>
          <c:cat>
            <c:strRef>
              <c:f>Sheet2!$B$42:$B$53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Sheet2!$C$42:$C$53</c:f>
              <c:numCache>
                <c:formatCode>General</c:formatCode>
                <c:ptCount val="12"/>
                <c:pt idx="0">
                  <c:v>447962.6804436802</c:v>
                </c:pt>
                <c:pt idx="1">
                  <c:v>494049.99614274973</c:v>
                </c:pt>
                <c:pt idx="2">
                  <c:v>349683.95554071019</c:v>
                </c:pt>
                <c:pt idx="3">
                  <c:v>491538.81409161002</c:v>
                </c:pt>
                <c:pt idx="4">
                  <c:v>375096.19024713989</c:v>
                </c:pt>
                <c:pt idx="5">
                  <c:v>516945.61150312977</c:v>
                </c:pt>
                <c:pt idx="6">
                  <c:v>356919.42912419996</c:v>
                </c:pt>
                <c:pt idx="7">
                  <c:v>471548.28161273996</c:v>
                </c:pt>
                <c:pt idx="8">
                  <c:v>353099.70154519996</c:v>
                </c:pt>
                <c:pt idx="9">
                  <c:v>460627.56075333076</c:v>
                </c:pt>
                <c:pt idx="10">
                  <c:v>435120.02455867018</c:v>
                </c:pt>
                <c:pt idx="11">
                  <c:v>472714.82777063997</c:v>
                </c:pt>
              </c:numCache>
            </c:numRef>
          </c:val>
          <c:smooth val="0"/>
        </c:ser>
        <c:dLbls>
          <c:showLegendKey val="0"/>
          <c:showVal val="0"/>
          <c:showCatName val="0"/>
          <c:showSerName val="0"/>
          <c:showPercent val="0"/>
          <c:showBubbleSize val="0"/>
        </c:dLbls>
        <c:smooth val="0"/>
        <c:axId val="2042739904"/>
        <c:axId val="2042740992"/>
      </c:lineChart>
      <c:catAx>
        <c:axId val="204273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740992"/>
        <c:crosses val="autoZero"/>
        <c:auto val="1"/>
        <c:lblAlgn val="ctr"/>
        <c:lblOffset val="100"/>
        <c:noMultiLvlLbl val="0"/>
      </c:catAx>
      <c:valAx>
        <c:axId val="204274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739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Sheet2!$C$23</c:f>
              <c:strCache>
                <c:ptCount val="1"/>
                <c:pt idx="0">
                  <c:v>Sum of Revenue</c:v>
                </c:pt>
              </c:strCache>
            </c:strRef>
          </c:tx>
          <c:spPr>
            <a:ln w="28575" cap="rnd">
              <a:solidFill>
                <a:schemeClr val="accent1"/>
              </a:solidFill>
              <a:round/>
            </a:ln>
            <a:effectLst/>
          </c:spPr>
          <c:marker>
            <c:symbol val="none"/>
          </c:marker>
          <c:cat>
            <c:strRef>
              <c:f>Sheet2!$B$24:$B$35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Sheet2!$C$24:$C$35</c:f>
              <c:numCache>
                <c:formatCode>General</c:formatCode>
                <c:ptCount val="12"/>
                <c:pt idx="0">
                  <c:v>1855874</c:v>
                </c:pt>
                <c:pt idx="1">
                  <c:v>1943641</c:v>
                </c:pt>
                <c:pt idx="2">
                  <c:v>1413121</c:v>
                </c:pt>
                <c:pt idx="3">
                  <c:v>1857725</c:v>
                </c:pt>
                <c:pt idx="4">
                  <c:v>1566109</c:v>
                </c:pt>
                <c:pt idx="5">
                  <c:v>1926915</c:v>
                </c:pt>
                <c:pt idx="6">
                  <c:v>1368905</c:v>
                </c:pt>
                <c:pt idx="7">
                  <c:v>1986713</c:v>
                </c:pt>
                <c:pt idx="8">
                  <c:v>1566883</c:v>
                </c:pt>
                <c:pt idx="9">
                  <c:v>1793316</c:v>
                </c:pt>
                <c:pt idx="10">
                  <c:v>1659520</c:v>
                </c:pt>
                <c:pt idx="11">
                  <c:v>1780845</c:v>
                </c:pt>
              </c:numCache>
            </c:numRef>
          </c:val>
          <c:smooth val="0"/>
        </c:ser>
        <c:dLbls>
          <c:showLegendKey val="0"/>
          <c:showVal val="0"/>
          <c:showCatName val="0"/>
          <c:showSerName val="0"/>
          <c:showPercent val="0"/>
          <c:showBubbleSize val="0"/>
        </c:dLbls>
        <c:smooth val="0"/>
        <c:axId val="2044219216"/>
        <c:axId val="2044224656"/>
      </c:lineChart>
      <c:catAx>
        <c:axId val="204421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24656"/>
        <c:crosses val="autoZero"/>
        <c:auto val="1"/>
        <c:lblAlgn val="ctr"/>
        <c:lblOffset val="100"/>
        <c:noMultiLvlLbl val="0"/>
      </c:catAx>
      <c:valAx>
        <c:axId val="204422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19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 resume project.xlsx]demand!PivotTable1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demand!$B$3</c:f>
              <c:strCache>
                <c:ptCount val="1"/>
                <c:pt idx="0">
                  <c:v>Total</c:v>
                </c:pt>
              </c:strCache>
            </c:strRef>
          </c:tx>
          <c:spPr>
            <a:solidFill>
              <a:schemeClr val="accent1"/>
            </a:solidFill>
            <a:ln>
              <a:noFill/>
            </a:ln>
            <a:effectLst/>
          </c:spPr>
          <c:invertIfNegative val="0"/>
          <c:cat>
            <c:multiLvlStrRef>
              <c:f>demand!$A$4:$A$20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demand!$B$4:$B$20</c:f>
              <c:numCache>
                <c:formatCode>General</c:formatCode>
                <c:ptCount val="12"/>
                <c:pt idx="0">
                  <c:v>1733</c:v>
                </c:pt>
                <c:pt idx="1">
                  <c:v>1770</c:v>
                </c:pt>
                <c:pt idx="2">
                  <c:v>1271</c:v>
                </c:pt>
                <c:pt idx="3">
                  <c:v>1754</c:v>
                </c:pt>
                <c:pt idx="4">
                  <c:v>1592</c:v>
                </c:pt>
                <c:pt idx="5">
                  <c:v>1664</c:v>
                </c:pt>
                <c:pt idx="6">
                  <c:v>1424</c:v>
                </c:pt>
                <c:pt idx="7">
                  <c:v>1838</c:v>
                </c:pt>
                <c:pt idx="8">
                  <c:v>1508</c:v>
                </c:pt>
                <c:pt idx="9">
                  <c:v>1664</c:v>
                </c:pt>
                <c:pt idx="10">
                  <c:v>1522</c:v>
                </c:pt>
                <c:pt idx="11">
                  <c:v>1664</c:v>
                </c:pt>
              </c:numCache>
            </c:numRef>
          </c:val>
        </c:ser>
        <c:dLbls>
          <c:showLegendKey val="0"/>
          <c:showVal val="0"/>
          <c:showCatName val="0"/>
          <c:showSerName val="0"/>
          <c:showPercent val="0"/>
          <c:showBubbleSize val="0"/>
        </c:dLbls>
        <c:gapWidth val="219"/>
        <c:overlap val="-27"/>
        <c:axId val="838953152"/>
        <c:axId val="838974368"/>
      </c:barChart>
      <c:catAx>
        <c:axId val="83895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74368"/>
        <c:crosses val="autoZero"/>
        <c:auto val="1"/>
        <c:lblAlgn val="ctr"/>
        <c:lblOffset val="100"/>
        <c:noMultiLvlLbl val="0"/>
      </c:catAx>
      <c:valAx>
        <c:axId val="83897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53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0834965426276"/>
          <c:y val="9.9378881987577633E-2"/>
          <c:w val="0.77504509905804919"/>
          <c:h val="0.78758839927617741"/>
        </c:manualLayout>
      </c:layout>
      <c:scatterChart>
        <c:scatterStyle val="lineMarker"/>
        <c:varyColors val="0"/>
        <c:ser>
          <c:idx val="0"/>
          <c:order val="0"/>
          <c:tx>
            <c:v>category</c:v>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3C365DE7-7CF7-4DD1-86F6-02793D9C96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C3E66164-9339-43D9-B181-19146BB7B4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2"/>
              <c:tx>
                <c:rich>
                  <a:bodyPr/>
                  <a:lstStyle/>
                  <a:p>
                    <a:fld id="{29F9404D-AE54-4CFD-92F2-9DE95A3ADE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prioritization!$B$4:$B$7</c:f>
              <c:numCache>
                <c:formatCode>General</c:formatCode>
                <c:ptCount val="4"/>
                <c:pt idx="0">
                  <c:v>5371991</c:v>
                </c:pt>
                <c:pt idx="1">
                  <c:v>10603574</c:v>
                </c:pt>
                <c:pt idx="2">
                  <c:v>4744002</c:v>
                </c:pt>
                <c:pt idx="3">
                  <c:v>20719567</c:v>
                </c:pt>
              </c:numCache>
            </c:numRef>
          </c:xVal>
          <c:yVal>
            <c:numRef>
              <c:f>prioritization!$D$4:$D$7</c:f>
              <c:numCache>
                <c:formatCode>0.0%</c:formatCode>
                <c:ptCount val="4"/>
                <c:pt idx="0">
                  <c:v>0.26104725557794306</c:v>
                </c:pt>
                <c:pt idx="1">
                  <c:v>0.24574330615210116</c:v>
                </c:pt>
                <c:pt idx="2">
                  <c:v>0.25657793441190163</c:v>
                </c:pt>
                <c:pt idx="3">
                  <c:v>0.25219190503999434</c:v>
                </c:pt>
              </c:numCache>
            </c:numRef>
          </c:yVal>
          <c:smooth val="0"/>
          <c:extLst>
            <c:ext xmlns:c15="http://schemas.microsoft.com/office/drawing/2012/chart" uri="{02D57815-91ED-43cb-92C2-25804820EDAC}">
              <c15:datalabelsRange>
                <c15:f>prioritization!$G$4:$G$6</c15:f>
                <c15:dlblRangeCache>
                  <c:ptCount val="3"/>
                  <c:pt idx="0">
                    <c:v>Accessories</c:v>
                  </c:pt>
                  <c:pt idx="1">
                    <c:v>Electronics</c:v>
                  </c:pt>
                  <c:pt idx="2">
                    <c:v>Office</c:v>
                  </c:pt>
                </c15:dlblRangeCache>
              </c15:datalabelsRange>
            </c:ext>
          </c:extLst>
        </c:ser>
        <c:dLbls>
          <c:showLegendKey val="0"/>
          <c:showVal val="0"/>
          <c:showCatName val="0"/>
          <c:showSerName val="0"/>
          <c:showPercent val="0"/>
          <c:showBubbleSize val="0"/>
        </c:dLbls>
        <c:axId val="838952064"/>
        <c:axId val="838954784"/>
      </c:scatterChart>
      <c:valAx>
        <c:axId val="8389520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54784"/>
        <c:crosses val="autoZero"/>
        <c:crossBetween val="midCat"/>
      </c:valAx>
      <c:valAx>
        <c:axId val="838954784"/>
        <c:scaling>
          <c:orientation val="minMax"/>
          <c:max val="0.27"/>
          <c:min val="0.24000000000000002"/>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520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layout>
        <c:manualLayout>
          <c:xMode val="edge"/>
          <c:yMode val="edge"/>
          <c:x val="0.2975875486381323"/>
          <c:y val="4.04721753794266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Sheet2!$C$23</c:f>
              <c:strCache>
                <c:ptCount val="1"/>
                <c:pt idx="0">
                  <c:v>Sum of Revenue</c:v>
                </c:pt>
              </c:strCache>
            </c:strRef>
          </c:tx>
          <c:spPr>
            <a:ln w="28575" cap="rnd">
              <a:solidFill>
                <a:schemeClr val="accent1"/>
              </a:solidFill>
              <a:round/>
            </a:ln>
            <a:effectLst/>
          </c:spPr>
          <c:marker>
            <c:symbol val="none"/>
          </c:marker>
          <c:cat>
            <c:strRef>
              <c:f>Sheet2!$B$24:$B$35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Sheet2!$C$24:$C$35</c:f>
              <c:numCache>
                <c:formatCode>General</c:formatCode>
                <c:ptCount val="12"/>
                <c:pt idx="0">
                  <c:v>1855874</c:v>
                </c:pt>
                <c:pt idx="1">
                  <c:v>1943641</c:v>
                </c:pt>
                <c:pt idx="2">
                  <c:v>1413121</c:v>
                </c:pt>
                <c:pt idx="3">
                  <c:v>1857725</c:v>
                </c:pt>
                <c:pt idx="4">
                  <c:v>1566109</c:v>
                </c:pt>
                <c:pt idx="5">
                  <c:v>1926915</c:v>
                </c:pt>
                <c:pt idx="6">
                  <c:v>1368905</c:v>
                </c:pt>
                <c:pt idx="7">
                  <c:v>1986713</c:v>
                </c:pt>
                <c:pt idx="8">
                  <c:v>1566883</c:v>
                </c:pt>
                <c:pt idx="9">
                  <c:v>1793316</c:v>
                </c:pt>
                <c:pt idx="10">
                  <c:v>1659520</c:v>
                </c:pt>
                <c:pt idx="11">
                  <c:v>1780845</c:v>
                </c:pt>
              </c:numCache>
            </c:numRef>
          </c:val>
          <c:smooth val="0"/>
        </c:ser>
        <c:dLbls>
          <c:showLegendKey val="0"/>
          <c:showVal val="0"/>
          <c:showCatName val="0"/>
          <c:showSerName val="0"/>
          <c:showPercent val="0"/>
          <c:showBubbleSize val="0"/>
        </c:dLbls>
        <c:smooth val="0"/>
        <c:axId val="838961312"/>
        <c:axId val="838964032"/>
      </c:lineChart>
      <c:catAx>
        <c:axId val="83896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64032"/>
        <c:crosses val="autoZero"/>
        <c:auto val="1"/>
        <c:lblAlgn val="ctr"/>
        <c:lblOffset val="100"/>
        <c:noMultiLvlLbl val="0"/>
      </c:catAx>
      <c:valAx>
        <c:axId val="83896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61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profit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Sheet2!$C$41</c:f>
              <c:strCache>
                <c:ptCount val="1"/>
                <c:pt idx="0">
                  <c:v>Sum of Profit</c:v>
                </c:pt>
              </c:strCache>
            </c:strRef>
          </c:tx>
          <c:spPr>
            <a:ln w="28575" cap="rnd">
              <a:solidFill>
                <a:schemeClr val="accent1"/>
              </a:solidFill>
              <a:round/>
            </a:ln>
            <a:effectLst/>
          </c:spPr>
          <c:marker>
            <c:symbol val="none"/>
          </c:marker>
          <c:cat>
            <c:strRef>
              <c:f>Sheet2!$B$42:$B$53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Sheet2!$C$42:$C$53</c:f>
              <c:numCache>
                <c:formatCode>General</c:formatCode>
                <c:ptCount val="12"/>
                <c:pt idx="0">
                  <c:v>447962.6804436802</c:v>
                </c:pt>
                <c:pt idx="1">
                  <c:v>494049.99614274973</c:v>
                </c:pt>
                <c:pt idx="2">
                  <c:v>349683.95554071019</c:v>
                </c:pt>
                <c:pt idx="3">
                  <c:v>491538.81409161002</c:v>
                </c:pt>
                <c:pt idx="4">
                  <c:v>375096.19024713989</c:v>
                </c:pt>
                <c:pt idx="5">
                  <c:v>516945.61150312977</c:v>
                </c:pt>
                <c:pt idx="6">
                  <c:v>356919.42912419996</c:v>
                </c:pt>
                <c:pt idx="7">
                  <c:v>471548.28161273996</c:v>
                </c:pt>
                <c:pt idx="8">
                  <c:v>353099.70154519996</c:v>
                </c:pt>
                <c:pt idx="9">
                  <c:v>460627.56075333076</c:v>
                </c:pt>
                <c:pt idx="10">
                  <c:v>435120.02455867018</c:v>
                </c:pt>
                <c:pt idx="11">
                  <c:v>472714.82777063997</c:v>
                </c:pt>
              </c:numCache>
            </c:numRef>
          </c:val>
          <c:smooth val="0"/>
        </c:ser>
        <c:dLbls>
          <c:showLegendKey val="0"/>
          <c:showVal val="0"/>
          <c:showCatName val="0"/>
          <c:showSerName val="0"/>
          <c:showPercent val="0"/>
          <c:showBubbleSize val="0"/>
        </c:dLbls>
        <c:smooth val="0"/>
        <c:axId val="838958592"/>
        <c:axId val="838952608"/>
      </c:lineChart>
      <c:catAx>
        <c:axId val="8389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52608"/>
        <c:crosses val="autoZero"/>
        <c:auto val="1"/>
        <c:lblAlgn val="ctr"/>
        <c:lblOffset val="100"/>
        <c:noMultiLvlLbl val="0"/>
      </c:catAx>
      <c:valAx>
        <c:axId val="83895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58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 resume project.xlsx]demand!PivotTable1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demand!$B$3</c:f>
              <c:strCache>
                <c:ptCount val="1"/>
                <c:pt idx="0">
                  <c:v>Total</c:v>
                </c:pt>
              </c:strCache>
            </c:strRef>
          </c:tx>
          <c:spPr>
            <a:solidFill>
              <a:schemeClr val="accent6"/>
            </a:solidFill>
            <a:ln>
              <a:noFill/>
            </a:ln>
            <a:effectLst/>
          </c:spPr>
          <c:invertIfNegative val="0"/>
          <c:cat>
            <c:multiLvlStrRef>
              <c:f>demand!$A$4:$A$20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demand!$B$4:$B$20</c:f>
              <c:numCache>
                <c:formatCode>General</c:formatCode>
                <c:ptCount val="12"/>
                <c:pt idx="0">
                  <c:v>1733</c:v>
                </c:pt>
                <c:pt idx="1">
                  <c:v>1770</c:v>
                </c:pt>
                <c:pt idx="2">
                  <c:v>1271</c:v>
                </c:pt>
                <c:pt idx="3">
                  <c:v>1754</c:v>
                </c:pt>
                <c:pt idx="4">
                  <c:v>1592</c:v>
                </c:pt>
                <c:pt idx="5">
                  <c:v>1664</c:v>
                </c:pt>
                <c:pt idx="6">
                  <c:v>1424</c:v>
                </c:pt>
                <c:pt idx="7">
                  <c:v>1838</c:v>
                </c:pt>
                <c:pt idx="8">
                  <c:v>1508</c:v>
                </c:pt>
                <c:pt idx="9">
                  <c:v>1664</c:v>
                </c:pt>
                <c:pt idx="10">
                  <c:v>1522</c:v>
                </c:pt>
                <c:pt idx="11">
                  <c:v>1664</c:v>
                </c:pt>
              </c:numCache>
            </c:numRef>
          </c:val>
        </c:ser>
        <c:dLbls>
          <c:showLegendKey val="0"/>
          <c:showVal val="0"/>
          <c:showCatName val="0"/>
          <c:showSerName val="0"/>
          <c:showPercent val="0"/>
          <c:showBubbleSize val="0"/>
        </c:dLbls>
        <c:gapWidth val="219"/>
        <c:overlap val="-27"/>
        <c:axId val="1997957248"/>
        <c:axId val="1997957792"/>
      </c:barChart>
      <c:catAx>
        <c:axId val="19979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57792"/>
        <c:crosses val="autoZero"/>
        <c:auto val="1"/>
        <c:lblAlgn val="ctr"/>
        <c:lblOffset val="100"/>
        <c:noMultiLvlLbl val="0"/>
      </c:catAx>
      <c:valAx>
        <c:axId val="199795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5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 by month</a:t>
            </a:r>
          </a:p>
        </c:rich>
      </c:tx>
      <c:layout>
        <c:manualLayout>
          <c:xMode val="edge"/>
          <c:yMode val="edge"/>
          <c:x val="0.31114077557103215"/>
          <c:y val="9.81423688512408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Sheet2!$F$4</c:f>
              <c:strCache>
                <c:ptCount val="1"/>
                <c:pt idx="0">
                  <c:v>Margin</c:v>
                </c:pt>
              </c:strCache>
            </c:strRef>
          </c:tx>
          <c:spPr>
            <a:ln w="28575" cap="rnd">
              <a:solidFill>
                <a:schemeClr val="accent2"/>
              </a:solidFill>
              <a:round/>
            </a:ln>
            <a:effectLst/>
          </c:spPr>
          <c:marker>
            <c:symbol val="none"/>
          </c:marker>
          <c:cat>
            <c:strRef>
              <c:f>Sheet2!$E$5:$E$16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Sheet2!$F$5:$F$16</c:f>
              <c:numCache>
                <c:formatCode>0.0%</c:formatCode>
                <c:ptCount val="12"/>
                <c:pt idx="0">
                  <c:v>0.24137558931461953</c:v>
                </c:pt>
                <c:pt idx="1">
                  <c:v>0.25418788559345568</c:v>
                </c:pt>
                <c:pt idx="2">
                  <c:v>0.247455069693756</c:v>
                </c:pt>
                <c:pt idx="3">
                  <c:v>0.26459180669453769</c:v>
                </c:pt>
                <c:pt idx="4">
                  <c:v>0.23950835494026271</c:v>
                </c:pt>
                <c:pt idx="5">
                  <c:v>0.26827629215773907</c:v>
                </c:pt>
                <c:pt idx="6">
                  <c:v>0.26073352725295035</c:v>
                </c:pt>
                <c:pt idx="7">
                  <c:v>0.23735098205565675</c:v>
                </c:pt>
                <c:pt idx="8">
                  <c:v>0.22535167051094432</c:v>
                </c:pt>
                <c:pt idx="9">
                  <c:v>0.2568579997910746</c:v>
                </c:pt>
                <c:pt idx="10">
                  <c:v>0.262196312523302</c:v>
                </c:pt>
                <c:pt idx="11">
                  <c:v>0.26544411656861772</c:v>
                </c:pt>
              </c:numCache>
            </c:numRef>
          </c:val>
          <c:smooth val="0"/>
        </c:ser>
        <c:dLbls>
          <c:showLegendKey val="0"/>
          <c:showVal val="0"/>
          <c:showCatName val="0"/>
          <c:showSerName val="0"/>
          <c:showPercent val="0"/>
          <c:showBubbleSize val="0"/>
        </c:dLbls>
        <c:smooth val="0"/>
        <c:axId val="840719120"/>
        <c:axId val="840716400"/>
      </c:lineChart>
      <c:catAx>
        <c:axId val="84071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16400"/>
        <c:crosses val="autoZero"/>
        <c:auto val="1"/>
        <c:lblAlgn val="ctr"/>
        <c:lblOffset val="100"/>
        <c:noMultiLvlLbl val="0"/>
      </c:catAx>
      <c:valAx>
        <c:axId val="840716400"/>
        <c:scaling>
          <c:orientation val="minMax"/>
          <c:min val="0.24000000000000002"/>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19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MARGIN</a:t>
            </a:r>
            <a:endParaRPr lang="en-US"/>
          </a:p>
        </c:rich>
      </c:tx>
      <c:layout>
        <c:manualLayout>
          <c:xMode val="edge"/>
          <c:yMode val="edge"/>
          <c:x val="0.26393175455844148"/>
          <c:y val="0.185685492473776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45544541174261"/>
          <c:y val="0.22416138105277988"/>
          <c:w val="0.77351218661551457"/>
          <c:h val="0.62553889297261556"/>
        </c:manualLayout>
      </c:layout>
      <c:scatterChart>
        <c:scatterStyle val="lineMarker"/>
        <c:varyColors val="0"/>
        <c:ser>
          <c:idx val="0"/>
          <c:order val="0"/>
          <c:tx>
            <c:v>category</c:v>
          </c:tx>
          <c:spPr>
            <a:ln w="19050" cap="rnd">
              <a:noFill/>
              <a:round/>
            </a:ln>
            <a:effectLst/>
          </c:spPr>
          <c:marker>
            <c:symbol val="circle"/>
            <c:size val="5"/>
            <c:spPr>
              <a:solidFill>
                <a:schemeClr val="accent1"/>
              </a:solidFill>
              <a:ln w="9525">
                <a:solidFill>
                  <a:schemeClr val="accent1"/>
                </a:solidFill>
              </a:ln>
              <a:effectLst/>
            </c:spPr>
          </c:marker>
          <c:dLbls>
            <c:dLbl>
              <c:idx val="0"/>
              <c:layout/>
              <c:tx>
                <c:rich>
                  <a:bodyPr/>
                  <a:lstStyle/>
                  <a:p>
                    <a:fld id="{F32FECF5-4CAD-4625-9582-9B5441A2F4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1"/>
              <c:layout/>
              <c:tx>
                <c:rich>
                  <a:bodyPr/>
                  <a:lstStyle/>
                  <a:p>
                    <a:fld id="{997FC30F-4C68-4231-AE90-5D3F962BF5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2"/>
              <c:layout/>
              <c:tx>
                <c:rich>
                  <a:bodyPr/>
                  <a:lstStyle/>
                  <a:p>
                    <a:fld id="{DFF94676-A480-4ACD-AF43-8F106D5D08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3"/>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layout/>
                <c15:showDataLabelsRange val="1"/>
                <c15:showLeaderLines val="1"/>
                <c15:leaderLines>
                  <c:spPr>
                    <a:ln w="9525" cap="flat" cmpd="sng" algn="ctr">
                      <a:solidFill>
                        <a:schemeClr val="tx1">
                          <a:lumMod val="35000"/>
                          <a:lumOff val="65000"/>
                        </a:schemeClr>
                      </a:solidFill>
                      <a:round/>
                    </a:ln>
                    <a:effectLst/>
                  </c:spPr>
                </c15:leaderLines>
              </c:ext>
            </c:extLst>
          </c:dLbls>
          <c:xVal>
            <c:numRef>
              <c:f>prioritization!$B$4:$B$7</c:f>
              <c:numCache>
                <c:formatCode>General</c:formatCode>
                <c:ptCount val="4"/>
                <c:pt idx="0">
                  <c:v>5371991</c:v>
                </c:pt>
                <c:pt idx="1">
                  <c:v>10603574</c:v>
                </c:pt>
                <c:pt idx="2">
                  <c:v>4744002</c:v>
                </c:pt>
                <c:pt idx="3">
                  <c:v>20719567</c:v>
                </c:pt>
              </c:numCache>
            </c:numRef>
          </c:xVal>
          <c:yVal>
            <c:numRef>
              <c:f>prioritization!$D$4:$D$7</c:f>
              <c:numCache>
                <c:formatCode>0.0%</c:formatCode>
                <c:ptCount val="4"/>
                <c:pt idx="0">
                  <c:v>0.26104725557794306</c:v>
                </c:pt>
                <c:pt idx="1">
                  <c:v>0.24574330615210116</c:v>
                </c:pt>
                <c:pt idx="2">
                  <c:v>0.25657793441190163</c:v>
                </c:pt>
                <c:pt idx="3">
                  <c:v>0.25219190503999434</c:v>
                </c:pt>
              </c:numCache>
            </c:numRef>
          </c:yVal>
          <c:smooth val="0"/>
          <c:extLst>
            <c:ext xmlns:c15="http://schemas.microsoft.com/office/drawing/2012/chart" uri="{02D57815-91ED-43cb-92C2-25804820EDAC}">
              <c15:datalabelsRange>
                <c15:f>prioritization!$G$4:$G$6</c15:f>
                <c15:dlblRangeCache>
                  <c:ptCount val="3"/>
                  <c:pt idx="0">
                    <c:v>Accessories</c:v>
                  </c:pt>
                  <c:pt idx="1">
                    <c:v>Electronics</c:v>
                  </c:pt>
                  <c:pt idx="2">
                    <c:v>Office</c:v>
                  </c:pt>
                </c15:dlblRangeCache>
              </c15:datalabelsRange>
            </c:ext>
          </c:extLst>
        </c:ser>
        <c:dLbls>
          <c:showLegendKey val="0"/>
          <c:showVal val="0"/>
          <c:showCatName val="0"/>
          <c:showSerName val="0"/>
          <c:showPercent val="0"/>
          <c:showBubbleSize val="0"/>
        </c:dLbls>
        <c:axId val="840718032"/>
        <c:axId val="840716944"/>
      </c:scatterChart>
      <c:valAx>
        <c:axId val="84071803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16944"/>
        <c:crosses val="autoZero"/>
        <c:crossBetween val="midCat"/>
      </c:valAx>
      <c:valAx>
        <c:axId val="840716944"/>
        <c:scaling>
          <c:orientation val="minMax"/>
          <c:max val="0.27"/>
          <c:min val="0.24000000000000002"/>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718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6</xdr:col>
      <xdr:colOff>558800</xdr:colOff>
      <xdr:row>4</xdr:row>
      <xdr:rowOff>139701</xdr:rowOff>
    </xdr:from>
    <xdr:to>
      <xdr:col>9</xdr:col>
      <xdr:colOff>558800</xdr:colOff>
      <xdr:row>13</xdr:row>
      <xdr:rowOff>1</xdr:rowOff>
    </xdr:to>
    <mc:AlternateContent xmlns:mc="http://schemas.openxmlformats.org/markup-compatibility/2006" xmlns:a14="http://schemas.microsoft.com/office/drawing/2010/main">
      <mc:Choice Requires="a14">
        <xdr:graphicFrame macro="">
          <xdr:nvGraphicFramePr>
            <xdr:cNvPr id="4" name="Quarters"/>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5080000" y="876301"/>
              <a:ext cx="1828800" cy="1517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xdr:colOff>
      <xdr:row>40</xdr:row>
      <xdr:rowOff>111125</xdr:rowOff>
    </xdr:from>
    <xdr:to>
      <xdr:col>9</xdr:col>
      <xdr:colOff>215900</xdr:colOff>
      <xdr:row>52</xdr:row>
      <xdr:rowOff>165100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425450</xdr:colOff>
      <xdr:row>21</xdr:row>
      <xdr:rowOff>66675</xdr:rowOff>
    </xdr:from>
    <xdr:to>
      <xdr:col>10</xdr:col>
      <xdr:colOff>139700</xdr:colOff>
      <xdr:row>33</xdr:row>
      <xdr:rowOff>19050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88900</xdr:colOff>
      <xdr:row>2</xdr:row>
      <xdr:rowOff>107950</xdr:rowOff>
    </xdr:from>
    <xdr:to>
      <xdr:col>9</xdr:col>
      <xdr:colOff>558800</xdr:colOff>
      <xdr:row>14</xdr:row>
      <xdr:rowOff>82550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177800</xdr:colOff>
      <xdr:row>1</xdr:row>
      <xdr:rowOff>177800</xdr:rowOff>
    </xdr:from>
    <xdr:to>
      <xdr:col>15</xdr:col>
      <xdr:colOff>273050</xdr:colOff>
      <xdr:row>13</xdr:row>
      <xdr:rowOff>12700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2</xdr:row>
      <xdr:rowOff>38100</xdr:rowOff>
    </xdr:from>
    <xdr:to>
      <xdr:col>14</xdr:col>
      <xdr:colOff>19050</xdr:colOff>
      <xdr:row>3</xdr:row>
      <xdr:rowOff>120650</xdr:rowOff>
    </xdr:to>
    <xdr:sp macro="" textlink="">
      <xdr:nvSpPr>
        <xdr:cNvPr id="2" name="TextBox 1"/>
        <xdr:cNvSpPr txBox="1"/>
      </xdr:nvSpPr>
      <xdr:spPr>
        <a:xfrm>
          <a:off x="7639050" y="406400"/>
          <a:ext cx="18859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REVENUE VS MARGIN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50800</xdr:colOff>
      <xdr:row>8</xdr:row>
      <xdr:rowOff>19051</xdr:rowOff>
    </xdr:from>
    <xdr:to>
      <xdr:col>8</xdr:col>
      <xdr:colOff>266700</xdr:colOff>
      <xdr:row>17</xdr:row>
      <xdr:rowOff>69851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368300</xdr:colOff>
      <xdr:row>8</xdr:row>
      <xdr:rowOff>6349</xdr:rowOff>
    </xdr:from>
    <xdr:to>
      <xdr:col>13</xdr:col>
      <xdr:colOff>508000</xdr:colOff>
      <xdr:row>17</xdr:row>
      <xdr:rowOff>57150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517979</xdr:colOff>
      <xdr:row>18</xdr:row>
      <xdr:rowOff>1891</xdr:rowOff>
    </xdr:from>
    <xdr:to>
      <xdr:col>6</xdr:col>
      <xdr:colOff>172357</xdr:colOff>
      <xdr:row>28</xdr:row>
      <xdr:rowOff>166007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308126</xdr:colOff>
      <xdr:row>18</xdr:row>
      <xdr:rowOff>1891</xdr:rowOff>
    </xdr:from>
    <xdr:to>
      <xdr:col>11</xdr:col>
      <xdr:colOff>476402</xdr:colOff>
      <xdr:row>28</xdr:row>
      <xdr:rowOff>139398</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xdr:colOff>
      <xdr:row>0</xdr:row>
      <xdr:rowOff>38100</xdr:rowOff>
    </xdr:from>
    <xdr:to>
      <xdr:col>13</xdr:col>
      <xdr:colOff>400050</xdr:colOff>
      <xdr:row>1</xdr:row>
      <xdr:rowOff>146050</xdr:rowOff>
    </xdr:to>
    <xdr:sp macro="" textlink="">
      <xdr:nvSpPr>
        <xdr:cNvPr id="5" name="TextBox 4"/>
        <xdr:cNvSpPr txBox="1"/>
      </xdr:nvSpPr>
      <xdr:spPr>
        <a:xfrm>
          <a:off x="1885950" y="38100"/>
          <a:ext cx="6438900" cy="29210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GLOBAL STORE SALES ANALYSIS DASHBOARD</a:t>
          </a:r>
        </a:p>
      </xdr:txBody>
    </xdr:sp>
    <xdr:clientData/>
  </xdr:twoCellAnchor>
  <xdr:twoCellAnchor>
    <xdr:from>
      <xdr:col>3</xdr:col>
      <xdr:colOff>63500</xdr:colOff>
      <xdr:row>2</xdr:row>
      <xdr:rowOff>158750</xdr:rowOff>
    </xdr:from>
    <xdr:to>
      <xdr:col>6</xdr:col>
      <xdr:colOff>279400</xdr:colOff>
      <xdr:row>7</xdr:row>
      <xdr:rowOff>0</xdr:rowOff>
    </xdr:to>
    <xdr:sp macro="" textlink="">
      <xdr:nvSpPr>
        <xdr:cNvPr id="24" name="Rectangle 23"/>
        <xdr:cNvSpPr/>
      </xdr:nvSpPr>
      <xdr:spPr>
        <a:xfrm>
          <a:off x="1885674" y="531467"/>
          <a:ext cx="2038074" cy="77304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501650</xdr:colOff>
      <xdr:row>2</xdr:row>
      <xdr:rowOff>158750</xdr:rowOff>
    </xdr:from>
    <xdr:to>
      <xdr:col>10</xdr:col>
      <xdr:colOff>107950</xdr:colOff>
      <xdr:row>7</xdr:row>
      <xdr:rowOff>0</xdr:rowOff>
    </xdr:to>
    <xdr:sp macro="" textlink="">
      <xdr:nvSpPr>
        <xdr:cNvPr id="25" name="Rectangle 24"/>
        <xdr:cNvSpPr/>
      </xdr:nvSpPr>
      <xdr:spPr>
        <a:xfrm>
          <a:off x="4145998" y="531467"/>
          <a:ext cx="2035865" cy="77304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279400</xdr:colOff>
      <xdr:row>2</xdr:row>
      <xdr:rowOff>165100</xdr:rowOff>
    </xdr:from>
    <xdr:to>
      <xdr:col>13</xdr:col>
      <xdr:colOff>495300</xdr:colOff>
      <xdr:row>7</xdr:row>
      <xdr:rowOff>0</xdr:rowOff>
    </xdr:to>
    <xdr:sp macro="" textlink="">
      <xdr:nvSpPr>
        <xdr:cNvPr id="26" name="Rectangle 25"/>
        <xdr:cNvSpPr/>
      </xdr:nvSpPr>
      <xdr:spPr>
        <a:xfrm>
          <a:off x="6353313" y="537817"/>
          <a:ext cx="2038074" cy="7666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2</xdr:row>
      <xdr:rowOff>171450</xdr:rowOff>
    </xdr:from>
    <xdr:to>
      <xdr:col>6</xdr:col>
      <xdr:colOff>273050</xdr:colOff>
      <xdr:row>4</xdr:row>
      <xdr:rowOff>158750</xdr:rowOff>
    </xdr:to>
    <xdr:sp macro="" textlink="">
      <xdr:nvSpPr>
        <xdr:cNvPr id="28" name="TextBox 27"/>
        <xdr:cNvSpPr txBox="1"/>
      </xdr:nvSpPr>
      <xdr:spPr>
        <a:xfrm>
          <a:off x="1905000" y="539750"/>
          <a:ext cx="2025650" cy="3556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TOTAL</a:t>
          </a:r>
          <a:r>
            <a:rPr lang="en-US" sz="1200" baseline="0"/>
            <a:t> REVENUE</a:t>
          </a:r>
          <a:endParaRPr lang="en-US" sz="1200"/>
        </a:p>
      </xdr:txBody>
    </xdr:sp>
    <xdr:clientData/>
  </xdr:twoCellAnchor>
  <xdr:twoCellAnchor>
    <xdr:from>
      <xdr:col>6</xdr:col>
      <xdr:colOff>508000</xdr:colOff>
      <xdr:row>2</xdr:row>
      <xdr:rowOff>158750</xdr:rowOff>
    </xdr:from>
    <xdr:to>
      <xdr:col>10</xdr:col>
      <xdr:colOff>95250</xdr:colOff>
      <xdr:row>4</xdr:row>
      <xdr:rowOff>146050</xdr:rowOff>
    </xdr:to>
    <xdr:sp macro="" textlink="">
      <xdr:nvSpPr>
        <xdr:cNvPr id="29" name="TextBox 28"/>
        <xdr:cNvSpPr txBox="1"/>
      </xdr:nvSpPr>
      <xdr:spPr>
        <a:xfrm>
          <a:off x="4165600" y="527050"/>
          <a:ext cx="2025650" cy="3556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TOTAL</a:t>
          </a:r>
          <a:r>
            <a:rPr lang="en-US" sz="1200" baseline="0"/>
            <a:t> PROFIT</a:t>
          </a:r>
          <a:endParaRPr lang="en-US" sz="1200"/>
        </a:p>
      </xdr:txBody>
    </xdr:sp>
    <xdr:clientData/>
  </xdr:twoCellAnchor>
  <xdr:twoCellAnchor>
    <xdr:from>
      <xdr:col>10</xdr:col>
      <xdr:colOff>298450</xdr:colOff>
      <xdr:row>2</xdr:row>
      <xdr:rowOff>171450</xdr:rowOff>
    </xdr:from>
    <xdr:to>
      <xdr:col>13</xdr:col>
      <xdr:colOff>495300</xdr:colOff>
      <xdr:row>4</xdr:row>
      <xdr:rowOff>158750</xdr:rowOff>
    </xdr:to>
    <xdr:sp macro="" textlink="">
      <xdr:nvSpPr>
        <xdr:cNvPr id="30" name="TextBox 29"/>
        <xdr:cNvSpPr txBox="1"/>
      </xdr:nvSpPr>
      <xdr:spPr>
        <a:xfrm>
          <a:off x="6394450" y="539750"/>
          <a:ext cx="2025650" cy="3556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OVERALL MARGIN %</a:t>
          </a:r>
        </a:p>
      </xdr:txBody>
    </xdr:sp>
    <xdr:clientData/>
  </xdr:twoCellAnchor>
  <xdr:twoCellAnchor>
    <xdr:from>
      <xdr:col>2</xdr:col>
      <xdr:colOff>121139</xdr:colOff>
      <xdr:row>18</xdr:row>
      <xdr:rowOff>37679</xdr:rowOff>
    </xdr:from>
    <xdr:to>
      <xdr:col>5</xdr:col>
      <xdr:colOff>0</xdr:colOff>
      <xdr:row>19</xdr:row>
      <xdr:rowOff>143356</xdr:rowOff>
    </xdr:to>
    <xdr:sp macro="" textlink="">
      <xdr:nvSpPr>
        <xdr:cNvPr id="32" name="TextBox 31"/>
        <xdr:cNvSpPr txBox="1"/>
      </xdr:nvSpPr>
      <xdr:spPr>
        <a:xfrm>
          <a:off x="1334060" y="3426724"/>
          <a:ext cx="1698243" cy="291183"/>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DEMAND</a:t>
          </a:r>
        </a:p>
      </xdr:txBody>
    </xdr:sp>
    <xdr:clientData/>
  </xdr:twoCellAnchor>
  <xdr:twoCellAnchor>
    <xdr:from>
      <xdr:col>7</xdr:col>
      <xdr:colOff>428777</xdr:colOff>
      <xdr:row>17</xdr:row>
      <xdr:rowOff>107303</xdr:rowOff>
    </xdr:from>
    <xdr:to>
      <xdr:col>10</xdr:col>
      <xdr:colOff>143027</xdr:colOff>
      <xdr:row>19</xdr:row>
      <xdr:rowOff>24752</xdr:rowOff>
    </xdr:to>
    <xdr:sp macro="" textlink="">
      <xdr:nvSpPr>
        <xdr:cNvPr id="33" name="TextBox 32"/>
        <xdr:cNvSpPr txBox="1"/>
      </xdr:nvSpPr>
      <xdr:spPr>
        <a:xfrm>
          <a:off x="4674002" y="3310842"/>
          <a:ext cx="1840429" cy="288461"/>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RISK</a:t>
          </a:r>
        </a:p>
      </xdr:txBody>
    </xdr:sp>
    <xdr:clientData/>
  </xdr:twoCellAnchor>
  <xdr:twoCellAnchor>
    <xdr:from>
      <xdr:col>12</xdr:col>
      <xdr:colOff>134831</xdr:colOff>
      <xdr:row>18</xdr:row>
      <xdr:rowOff>668</xdr:rowOff>
    </xdr:from>
    <xdr:to>
      <xdr:col>18</xdr:col>
      <xdr:colOff>204681</xdr:colOff>
      <xdr:row>28</xdr:row>
      <xdr:rowOff>137647</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335418</xdr:colOff>
      <xdr:row>18</xdr:row>
      <xdr:rowOff>1891</xdr:rowOff>
    </xdr:from>
    <xdr:to>
      <xdr:col>17</xdr:col>
      <xdr:colOff>62368</xdr:colOff>
      <xdr:row>19</xdr:row>
      <xdr:rowOff>126698</xdr:rowOff>
    </xdr:to>
    <xdr:sp macro="" textlink="">
      <xdr:nvSpPr>
        <xdr:cNvPr id="34" name="TextBox 33"/>
        <xdr:cNvSpPr txBox="1"/>
      </xdr:nvSpPr>
      <xdr:spPr>
        <a:xfrm>
          <a:off x="8526205" y="3390936"/>
          <a:ext cx="2152792" cy="310313"/>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PRIORITIZATION</a:t>
          </a:r>
        </a:p>
      </xdr:txBody>
    </xdr:sp>
    <xdr:clientData/>
  </xdr:twoCellAnchor>
  <xdr:twoCellAnchor>
    <xdr:from>
      <xdr:col>3</xdr:col>
      <xdr:colOff>76200</xdr:colOff>
      <xdr:row>6</xdr:row>
      <xdr:rowOff>0</xdr:rowOff>
    </xdr:from>
    <xdr:to>
      <xdr:col>6</xdr:col>
      <xdr:colOff>273050</xdr:colOff>
      <xdr:row>7</xdr:row>
      <xdr:rowOff>0</xdr:rowOff>
    </xdr:to>
    <xdr:sp macro="" textlink="">
      <xdr:nvSpPr>
        <xdr:cNvPr id="36" name="TextBox 35"/>
        <xdr:cNvSpPr txBox="1"/>
      </xdr:nvSpPr>
      <xdr:spPr>
        <a:xfrm>
          <a:off x="1898374" y="1118152"/>
          <a:ext cx="2019024" cy="18635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“2024 full year”</a:t>
          </a:r>
          <a:endParaRPr lang="en-US" sz="1100"/>
        </a:p>
      </xdr:txBody>
    </xdr:sp>
    <xdr:clientData/>
  </xdr:twoCellAnchor>
  <xdr:twoCellAnchor>
    <xdr:from>
      <xdr:col>6</xdr:col>
      <xdr:colOff>535112</xdr:colOff>
      <xdr:row>5</xdr:row>
      <xdr:rowOff>221179</xdr:rowOff>
    </xdr:from>
    <xdr:to>
      <xdr:col>9</xdr:col>
      <xdr:colOff>492303</xdr:colOff>
      <xdr:row>6</xdr:row>
      <xdr:rowOff>164100</xdr:rowOff>
    </xdr:to>
    <xdr:sp macro="" textlink="">
      <xdr:nvSpPr>
        <xdr:cNvPr id="37" name="TextBox 36"/>
        <xdr:cNvSpPr txBox="1"/>
      </xdr:nvSpPr>
      <xdr:spPr>
        <a:xfrm>
          <a:off x="4173876" y="1148707"/>
          <a:ext cx="2083371" cy="17837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After</a:t>
          </a:r>
          <a:r>
            <a:rPr lang="en-US" sz="1100" baseline="0"/>
            <a:t> cost</a:t>
          </a:r>
          <a:endParaRPr lang="en-US" sz="1100"/>
        </a:p>
      </xdr:txBody>
    </xdr:sp>
    <xdr:clientData/>
  </xdr:twoCellAnchor>
  <xdr:twoCellAnchor>
    <xdr:from>
      <xdr:col>10</xdr:col>
      <xdr:colOff>292528</xdr:colOff>
      <xdr:row>5</xdr:row>
      <xdr:rowOff>156966</xdr:rowOff>
    </xdr:from>
    <xdr:to>
      <xdr:col>12</xdr:col>
      <xdr:colOff>107021</xdr:colOff>
      <xdr:row>7</xdr:row>
      <xdr:rowOff>7135</xdr:rowOff>
    </xdr:to>
    <xdr:sp macro="" textlink="">
      <xdr:nvSpPr>
        <xdr:cNvPr id="38" name="TextBox 37"/>
        <xdr:cNvSpPr txBox="1"/>
      </xdr:nvSpPr>
      <xdr:spPr>
        <a:xfrm>
          <a:off x="6663932" y="1084494"/>
          <a:ext cx="1027415" cy="27112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Profit/revenue</a:t>
          </a:r>
        </a:p>
      </xdr:txBody>
    </xdr:sp>
    <xdr:clientData/>
  </xdr:twoCellAnchor>
  <xdr:twoCellAnchor>
    <xdr:from>
      <xdr:col>16</xdr:col>
      <xdr:colOff>0</xdr:colOff>
      <xdr:row>24</xdr:row>
      <xdr:rowOff>16405</xdr:rowOff>
    </xdr:from>
    <xdr:to>
      <xdr:col>20</xdr:col>
      <xdr:colOff>322133</xdr:colOff>
      <xdr:row>27</xdr:row>
      <xdr:rowOff>16405</xdr:rowOff>
    </xdr:to>
    <xdr:sp macro="" textlink="">
      <xdr:nvSpPr>
        <xdr:cNvPr id="39" name="TextBox 38"/>
        <xdr:cNvSpPr txBox="1"/>
      </xdr:nvSpPr>
      <xdr:spPr>
        <a:xfrm>
          <a:off x="10010169" y="4518484"/>
          <a:ext cx="2747975" cy="556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“Electronics: High revenue, below-average margin → pricing focus”</a:t>
          </a:r>
          <a:endParaRPr lang="en-US" sz="1100" b="1"/>
        </a:p>
      </xdr:txBody>
    </xdr:sp>
    <xdr:clientData/>
  </xdr:twoCellAnchor>
  <xdr:twoCellAnchor editAs="oneCell">
    <xdr:from>
      <xdr:col>0</xdr:col>
      <xdr:colOff>75704</xdr:colOff>
      <xdr:row>8</xdr:row>
      <xdr:rowOff>110213</xdr:rowOff>
    </xdr:from>
    <xdr:to>
      <xdr:col>2</xdr:col>
      <xdr:colOff>604179</xdr:colOff>
      <xdr:row>16</xdr:row>
      <xdr:rowOff>75090</xdr:rowOff>
    </xdr:to>
    <mc:AlternateContent xmlns:mc="http://schemas.openxmlformats.org/markup-compatibility/2006">
      <mc:Choice xmlns:a14="http://schemas.microsoft.com/office/drawing/2010/main" Requires="a14">
        <xdr:graphicFrame macro="">
          <xdr:nvGraphicFramePr>
            <xdr:cNvPr id="40" name="Quarters 1"/>
            <xdr:cNvGraphicFramePr/>
          </xdr:nvGraphicFramePr>
          <xdr:xfrm>
            <a:off x="0" y="0"/>
            <a:ext cx="0" cy="0"/>
          </xdr:xfrm>
          <a:graphic>
            <a:graphicData uri="http://schemas.microsoft.com/office/drawing/2010/slicer">
              <sle:slicer xmlns:sle="http://schemas.microsoft.com/office/drawing/2010/slicer" name="Quarters 1"/>
            </a:graphicData>
          </a:graphic>
        </xdr:graphicFrame>
      </mc:Choice>
      <mc:Fallback>
        <xdr:sp macro="" textlink="">
          <xdr:nvSpPr>
            <xdr:cNvPr id="0" name=""/>
            <xdr:cNvSpPr>
              <a:spLocks noTextEdit="1"/>
            </xdr:cNvSpPr>
          </xdr:nvSpPr>
          <xdr:spPr>
            <a:xfrm>
              <a:off x="75704" y="1644202"/>
              <a:ext cx="1741396" cy="1448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50.785552083333" createdVersion="5" refreshedVersion="5" minRefreshableVersion="3" recordCount="1921">
  <cacheSource type="worksheet">
    <worksheetSource name="Table1"/>
  </cacheSource>
  <cacheFields count="12">
    <cacheField name="Date" numFmtId="14">
      <sharedItems containsSemiMixedTypes="0" containsNonDate="0" containsDate="1" containsString="0" minDate="2024-01-01T00:00:00" maxDate="2025-01-01T00:00:00" count="364">
        <d v="2024-04-12T00:00:00"/>
        <d v="2024-12-14T00:00:00"/>
        <d v="2024-09-27T00:00:00"/>
        <d v="2024-04-16T00:00:00"/>
        <d v="2024-03-12T00:00:00"/>
        <d v="2024-07-07T00:00:00"/>
        <d v="2024-01-21T00:00:00"/>
        <d v="2024-05-01T00:00:00"/>
        <d v="2024-08-02T00:00:00"/>
        <d v="2024-11-26T00:00:00"/>
        <d v="2024-03-28T00:00:00"/>
        <d v="2024-04-09T00:00:00"/>
        <d v="2024-12-25T00:00:00"/>
        <d v="2024-05-10T00:00:00"/>
        <d v="2024-05-29T00:00:00"/>
        <d v="2024-11-04T00:00:00"/>
        <d v="2024-09-14T00:00:00"/>
        <d v="2024-12-09T00:00:00"/>
        <d v="2024-10-20T00:00:00"/>
        <d v="2024-07-10T00:00:00"/>
        <d v="2024-10-03T00:00:00"/>
        <d v="2024-06-09T00:00:00"/>
        <d v="2024-11-09T00:00:00"/>
        <d v="2024-01-22T00:00:00"/>
        <d v="2024-09-09T00:00:00"/>
        <d v="2024-08-23T00:00:00"/>
        <d v="2024-12-10T00:00:00"/>
        <d v="2024-02-18T00:00:00"/>
        <d v="2024-02-28T00:00:00"/>
        <d v="2024-06-18T00:00:00"/>
        <d v="2024-07-06T00:00:00"/>
        <d v="2024-06-23T00:00:00"/>
        <d v="2024-02-20T00:00:00"/>
        <d v="2024-12-29T00:00:00"/>
        <d v="2024-02-24T00:00:00"/>
        <d v="2024-08-31T00:00:00"/>
        <d v="2024-11-15T00:00:00"/>
        <d v="2024-11-02T00:00:00"/>
        <d v="2024-05-14T00:00:00"/>
        <d v="2024-11-24T00:00:00"/>
        <d v="2024-06-15T00:00:00"/>
        <d v="2024-09-30T00:00:00"/>
        <d v="2024-03-29T00:00:00"/>
        <d v="2024-11-11T00:00:00"/>
        <d v="2024-01-14T00:00:00"/>
        <d v="2024-08-29T00:00:00"/>
        <d v="2024-09-21T00:00:00"/>
        <d v="2024-02-22T00:00:00"/>
        <d v="2024-12-05T00:00:00"/>
        <d v="2024-04-01T00:00:00"/>
        <d v="2024-09-20T00:00:00"/>
        <d v="2024-02-04T00:00:00"/>
        <d v="2024-07-24T00:00:00"/>
        <d v="2024-03-21T00:00:00"/>
        <d v="2024-02-19T00:00:00"/>
        <d v="2024-01-02T00:00:00"/>
        <d v="2024-02-23T00:00:00"/>
        <d v="2024-04-15T00:00:00"/>
        <d v="2024-09-16T00:00:00"/>
        <d v="2024-11-05T00:00:00"/>
        <d v="2024-07-09T00:00:00"/>
        <d v="2024-08-05T00:00:00"/>
        <d v="2024-02-13T00:00:00"/>
        <d v="2024-06-10T00:00:00"/>
        <d v="2024-07-20T00:00:00"/>
        <d v="2024-09-26T00:00:00"/>
        <d v="2024-12-16T00:00:00"/>
        <d v="2024-10-30T00:00:00"/>
        <d v="2024-09-08T00:00:00"/>
        <d v="2024-07-08T00:00:00"/>
        <d v="2024-10-22T00:00:00"/>
        <d v="2024-07-31T00:00:00"/>
        <d v="2024-07-26T00:00:00"/>
        <d v="2024-08-24T00:00:00"/>
        <d v="2024-12-03T00:00:00"/>
        <d v="2024-10-06T00:00:00"/>
        <d v="2024-08-04T00:00:00"/>
        <d v="2024-02-10T00:00:00"/>
        <d v="2024-06-05T00:00:00"/>
        <d v="2024-01-15T00:00:00"/>
        <d v="2024-10-27T00:00:00"/>
        <d v="2024-03-05T00:00:00"/>
        <d v="2024-11-22T00:00:00"/>
        <d v="2024-01-09T00:00:00"/>
        <d v="2024-05-08T00:00:00"/>
        <d v="2024-05-15T00:00:00"/>
        <d v="2024-03-03T00:00:00"/>
        <d v="2024-05-18T00:00:00"/>
        <d v="2024-06-11T00:00:00"/>
        <d v="2024-10-15T00:00:00"/>
        <d v="2024-09-17T00:00:00"/>
        <d v="2024-08-18T00:00:00"/>
        <d v="2024-01-28T00:00:00"/>
        <d v="2024-07-19T00:00:00"/>
        <d v="2024-11-23T00:00:00"/>
        <d v="2024-09-24T00:00:00"/>
        <d v="2024-02-02T00:00:00"/>
        <d v="2024-02-17T00:00:00"/>
        <d v="2024-03-02T00:00:00"/>
        <d v="2024-08-03T00:00:00"/>
        <d v="2024-10-19T00:00:00"/>
        <d v="2024-06-20T00:00:00"/>
        <d v="2024-08-01T00:00:00"/>
        <d v="2024-08-14T00:00:00"/>
        <d v="2024-04-10T00:00:00"/>
        <d v="2024-09-13T00:00:00"/>
        <d v="2024-01-05T00:00:00"/>
        <d v="2024-09-11T00:00:00"/>
        <d v="2024-12-24T00:00:00"/>
        <d v="2024-10-09T00:00:00"/>
        <d v="2024-07-25T00:00:00"/>
        <d v="2024-12-11T00:00:00"/>
        <d v="2024-02-11T00:00:00"/>
        <d v="2024-06-27T00:00:00"/>
        <d v="2024-12-17T00:00:00"/>
        <d v="2024-08-28T00:00:00"/>
        <d v="2024-02-21T00:00:00"/>
        <d v="2024-04-05T00:00:00"/>
        <d v="2024-08-09T00:00:00"/>
        <d v="2024-06-19T00:00:00"/>
        <d v="2024-01-29T00:00:00"/>
        <d v="2024-02-05T00:00:00"/>
        <d v="2024-01-13T00:00:00"/>
        <d v="2024-06-08T00:00:00"/>
        <d v="2024-07-05T00:00:00"/>
        <d v="2024-08-30T00:00:00"/>
        <d v="2024-03-26T00:00:00"/>
        <d v="2024-10-10T00:00:00"/>
        <d v="2024-03-06T00:00:00"/>
        <d v="2024-02-14T00:00:00"/>
        <d v="2024-05-13T00:00:00"/>
        <d v="2024-04-17T00:00:00"/>
        <d v="2024-10-12T00:00:00"/>
        <d v="2024-05-07T00:00:00"/>
        <d v="2024-08-12T00:00:00"/>
        <d v="2024-04-30T00:00:00"/>
        <d v="2024-04-25T00:00:00"/>
        <d v="2024-08-20T00:00:00"/>
        <d v="2024-09-15T00:00:00"/>
        <d v="2024-07-16T00:00:00"/>
        <d v="2024-11-13T00:00:00"/>
        <d v="2024-06-13T00:00:00"/>
        <d v="2024-08-21T00:00:00"/>
        <d v="2024-05-31T00:00:00"/>
        <d v="2024-11-10T00:00:00"/>
        <d v="2024-06-28T00:00:00"/>
        <d v="2024-04-22T00:00:00"/>
        <d v="2024-05-09T00:00:00"/>
        <d v="2024-08-07T00:00:00"/>
        <d v="2024-12-08T00:00:00"/>
        <d v="2024-08-11T00:00:00"/>
        <d v="2024-05-05T00:00:00"/>
        <d v="2024-09-03T00:00:00"/>
        <d v="2024-11-19T00:00:00"/>
        <d v="2024-07-21T00:00:00"/>
        <d v="2024-07-02T00:00:00"/>
        <d v="2024-05-02T00:00:00"/>
        <d v="2024-11-20T00:00:00"/>
        <d v="2024-04-07T00:00:00"/>
        <d v="2024-08-27T00:00:00"/>
        <d v="2024-05-23T00:00:00"/>
        <d v="2024-04-06T00:00:00"/>
        <d v="2024-05-03T00:00:00"/>
        <d v="2024-11-21T00:00:00"/>
        <d v="2024-05-26T00:00:00"/>
        <d v="2024-05-27T00:00:00"/>
        <d v="2024-07-17T00:00:00"/>
        <d v="2024-11-03T00:00:00"/>
        <d v="2024-02-08T00:00:00"/>
        <d v="2024-09-23T00:00:00"/>
        <d v="2024-05-30T00:00:00"/>
        <d v="2024-10-24T00:00:00"/>
        <d v="2024-04-08T00:00:00"/>
        <d v="2024-09-19T00:00:00"/>
        <d v="2024-04-21T00:00:00"/>
        <d v="2024-02-29T00:00:00"/>
        <d v="2024-09-10T00:00:00"/>
        <d v="2024-05-19T00:00:00"/>
        <d v="2024-02-06T00:00:00"/>
        <d v="2024-03-15T00:00:00"/>
        <d v="2024-04-13T00:00:00"/>
        <d v="2024-06-01T00:00:00"/>
        <d v="2024-12-31T00:00:00"/>
        <d v="2024-07-12T00:00:00"/>
        <d v="2024-06-17T00:00:00"/>
        <d v="2024-03-08T00:00:00"/>
        <d v="2024-07-13T00:00:00"/>
        <d v="2024-06-24T00:00:00"/>
        <d v="2024-08-25T00:00:00"/>
        <d v="2024-06-06T00:00:00"/>
        <d v="2024-02-07T00:00:00"/>
        <d v="2024-12-30T00:00:00"/>
        <d v="2024-01-27T00:00:00"/>
        <d v="2024-08-13T00:00:00"/>
        <d v="2024-11-12T00:00:00"/>
        <d v="2024-01-04T00:00:00"/>
        <d v="2024-01-17T00:00:00"/>
        <d v="2024-02-15T00:00:00"/>
        <d v="2024-01-06T00:00:00"/>
        <d v="2024-10-28T00:00:00"/>
        <d v="2024-06-29T00:00:00"/>
        <d v="2024-04-04T00:00:00"/>
        <d v="2024-09-12T00:00:00"/>
        <d v="2024-11-18T00:00:00"/>
        <d v="2024-01-18T00:00:00"/>
        <d v="2024-10-07T00:00:00"/>
        <d v="2024-08-10T00:00:00"/>
        <d v="2024-02-27T00:00:00"/>
        <d v="2024-06-22T00:00:00"/>
        <d v="2024-10-14T00:00:00"/>
        <d v="2024-12-07T00:00:00"/>
        <d v="2024-05-06T00:00:00"/>
        <d v="2024-06-03T00:00:00"/>
        <d v="2024-09-29T00:00:00"/>
        <d v="2024-10-25T00:00:00"/>
        <d v="2024-09-02T00:00:00"/>
        <d v="2024-01-26T00:00:00"/>
        <d v="2024-12-20T00:00:00"/>
        <d v="2024-11-01T00:00:00"/>
        <d v="2024-11-08T00:00:00"/>
        <d v="2024-06-21T00:00:00"/>
        <d v="2024-01-20T00:00:00"/>
        <d v="2024-11-16T00:00:00"/>
        <d v="2024-05-21T00:00:00"/>
        <d v="2024-05-22T00:00:00"/>
        <d v="2024-12-19T00:00:00"/>
        <d v="2024-11-17T00:00:00"/>
        <d v="2024-07-04T00:00:00"/>
        <d v="2024-05-04T00:00:00"/>
        <d v="2024-10-31T00:00:00"/>
        <d v="2024-07-14T00:00:00"/>
        <d v="2024-09-18T00:00:00"/>
        <d v="2024-12-15T00:00:00"/>
        <d v="2024-02-16T00:00:00"/>
        <d v="2024-11-06T00:00:00"/>
        <d v="2024-09-25T00:00:00"/>
        <d v="2024-05-24T00:00:00"/>
        <d v="2024-04-29T00:00:00"/>
        <d v="2024-11-14T00:00:00"/>
        <d v="2024-10-01T00:00:00"/>
        <d v="2024-04-26T00:00:00"/>
        <d v="2024-10-05T00:00:00"/>
        <d v="2024-08-26T00:00:00"/>
        <d v="2024-10-16T00:00:00"/>
        <d v="2024-04-27T00:00:00"/>
        <d v="2024-09-28T00:00:00"/>
        <d v="2024-03-09T00:00:00"/>
        <d v="2024-03-16T00:00:00"/>
        <d v="2024-06-02T00:00:00"/>
        <d v="2024-10-11T00:00:00"/>
        <d v="2024-04-03T00:00:00"/>
        <d v="2024-07-22T00:00:00"/>
        <d v="2024-12-06T00:00:00"/>
        <d v="2024-12-22T00:00:00"/>
        <d v="2024-01-23T00:00:00"/>
        <d v="2024-09-06T00:00:00"/>
        <d v="2024-01-10T00:00:00"/>
        <d v="2024-01-16T00:00:00"/>
        <d v="2024-12-01T00:00:00"/>
        <d v="2024-06-26T00:00:00"/>
        <d v="2024-06-16T00:00:00"/>
        <d v="2024-11-25T00:00:00"/>
        <d v="2024-02-12T00:00:00"/>
        <d v="2024-01-12T00:00:00"/>
        <d v="2024-12-02T00:00:00"/>
        <d v="2024-03-30T00:00:00"/>
        <d v="2024-04-02T00:00:00"/>
        <d v="2024-04-24T00:00:00"/>
        <d v="2024-04-14T00:00:00"/>
        <d v="2024-04-23T00:00:00"/>
        <d v="2024-06-12T00:00:00"/>
        <d v="2024-06-25T00:00:00"/>
        <d v="2024-07-01T00:00:00"/>
        <d v="2024-12-26T00:00:00"/>
        <d v="2024-03-24T00:00:00"/>
        <d v="2024-01-19T00:00:00"/>
        <d v="2024-12-04T00:00:00"/>
        <d v="2024-01-25T00:00:00"/>
        <d v="2024-02-26T00:00:00"/>
        <d v="2024-05-12T00:00:00"/>
        <d v="2024-08-08T00:00:00"/>
        <d v="2024-08-22T00:00:00"/>
        <d v="2024-05-25T00:00:00"/>
        <d v="2024-03-14T00:00:00"/>
        <d v="2024-08-17T00:00:00"/>
        <d v="2024-01-07T00:00:00"/>
        <d v="2024-05-20T00:00:00"/>
        <d v="2024-05-11T00:00:00"/>
        <d v="2024-10-18T00:00:00"/>
        <d v="2024-03-10T00:00:00"/>
        <d v="2024-06-30T00:00:00"/>
        <d v="2024-03-31T00:00:00"/>
        <d v="2024-01-01T00:00:00"/>
        <d v="2024-12-13T00:00:00"/>
        <d v="2024-11-07T00:00:00"/>
        <d v="2024-10-29T00:00:00"/>
        <d v="2024-05-28T00:00:00"/>
        <d v="2024-03-20T00:00:00"/>
        <d v="2024-08-16T00:00:00"/>
        <d v="2024-12-23T00:00:00"/>
        <d v="2024-06-04T00:00:00"/>
        <d v="2024-01-08T00:00:00"/>
        <d v="2024-08-15T00:00:00"/>
        <d v="2024-07-30T00:00:00"/>
        <d v="2024-03-22T00:00:00"/>
        <d v="2024-07-15T00:00:00"/>
        <d v="2024-09-07T00:00:00"/>
        <d v="2024-04-28T00:00:00"/>
        <d v="2024-10-08T00:00:00"/>
        <d v="2024-03-23T00:00:00"/>
        <d v="2024-03-25T00:00:00"/>
        <d v="2024-03-18T00:00:00"/>
        <d v="2024-07-23T00:00:00"/>
        <d v="2024-02-03T00:00:00"/>
        <d v="2024-11-30T00:00:00"/>
        <d v="2024-12-12T00:00:00"/>
        <d v="2024-09-05T00:00:00"/>
        <d v="2024-06-14T00:00:00"/>
        <d v="2024-01-30T00:00:00"/>
        <d v="2024-05-17T00:00:00"/>
        <d v="2024-04-20T00:00:00"/>
        <d v="2024-03-01T00:00:00"/>
        <d v="2024-03-13T00:00:00"/>
        <d v="2024-02-25T00:00:00"/>
        <d v="2024-01-03T00:00:00"/>
        <d v="2024-12-28T00:00:00"/>
        <d v="2024-10-26T00:00:00"/>
        <d v="2024-03-07T00:00:00"/>
        <d v="2024-04-18T00:00:00"/>
        <d v="2024-05-16T00:00:00"/>
        <d v="2024-01-31T00:00:00"/>
        <d v="2024-02-09T00:00:00"/>
        <d v="2024-12-21T00:00:00"/>
        <d v="2024-11-28T00:00:00"/>
        <d v="2024-11-29T00:00:00"/>
        <d v="2024-10-17T00:00:00"/>
        <d v="2024-10-21T00:00:00"/>
        <d v="2024-12-18T00:00:00"/>
        <d v="2024-06-07T00:00:00"/>
        <d v="2024-11-27T00:00:00"/>
        <d v="2024-01-11T00:00:00"/>
        <d v="2024-07-18T00:00:00"/>
        <d v="2024-07-28T00:00:00"/>
        <d v="2024-10-13T00:00:00"/>
        <d v="2024-10-23T00:00:00"/>
        <d v="2024-04-19T00:00:00"/>
        <d v="2024-07-29T00:00:00"/>
        <d v="2024-02-01T00:00:00"/>
        <d v="2024-09-22T00:00:00"/>
        <d v="2024-03-27T00:00:00"/>
        <d v="2024-07-27T00:00:00"/>
        <d v="2024-10-04T00:00:00"/>
        <d v="2024-12-27T00:00:00"/>
        <d v="2024-08-06T00:00:00"/>
        <d v="2024-03-04T00:00:00"/>
        <d v="2024-07-11T00:00:00"/>
        <d v="2024-08-19T00:00:00"/>
        <d v="2024-04-11T00:00:00"/>
        <d v="2024-09-01T00:00:00"/>
        <d v="2024-07-03T00:00:00"/>
        <d v="2024-03-17T00:00:00"/>
        <d v="2024-03-19T00:00:00"/>
        <d v="2024-01-24T00:00:00"/>
        <d v="2024-10-02T00:00:00"/>
      </sharedItems>
      <fieldGroup par="11" base="0">
        <rangePr groupBy="months" startDate="2024-01-01T00:00:00" endDate="2025-01-01T00:00:00"/>
        <groupItems count="14">
          <s v="&lt;1/1/2024"/>
          <s v="Jan"/>
          <s v="Feb"/>
          <s v="Mar"/>
          <s v="Apr"/>
          <s v="May"/>
          <s v="Jun"/>
          <s v="Jul"/>
          <s v="Aug"/>
          <s v="Sep"/>
          <s v="Oct"/>
          <s v="Nov"/>
          <s v="Dec"/>
          <s v="&gt;1/1/2025"/>
        </groupItems>
      </fieldGroup>
    </cacheField>
    <cacheField name="Region" numFmtId="49">
      <sharedItems/>
    </cacheField>
    <cacheField name="Product" numFmtId="49">
      <sharedItems/>
    </cacheField>
    <cacheField name="Salesperson" numFmtId="49">
      <sharedItems/>
    </cacheField>
    <cacheField name="Units_Sold" numFmtId="1">
      <sharedItems containsSemiMixedTypes="0" containsString="0" containsNumber="1" containsInteger="1" minValue="-5" maxValue="19"/>
    </cacheField>
    <cacheField name="Unit_Price" numFmtId="1">
      <sharedItems containsSemiMixedTypes="0" containsString="0" containsNumber="1" containsInteger="1" minValue="-100" maxValue="1997"/>
    </cacheField>
    <cacheField name="Category" numFmtId="49">
      <sharedItems count="3">
        <s v="Accessories"/>
        <s v="Office"/>
        <s v="Electronics"/>
      </sharedItems>
    </cacheField>
    <cacheField name="Revenue" numFmtId="0">
      <sharedItems containsSemiMixedTypes="0" containsString="0" containsNumber="1" containsInteger="1" minValue="-8975" maxValue="37715"/>
    </cacheField>
    <cacheField name="Cost" numFmtId="0">
      <sharedItems containsSemiMixedTypes="0" containsString="0" containsNumber="1" minValue="-7905.6957240000002" maxValue="31723.724910000001"/>
    </cacheField>
    <cacheField name="Profit" numFmtId="0">
      <sharedItems containsSemiMixedTypes="0" containsString="0" containsNumber="1" minValue="-1069.3042760000001" maxValue="14409.77072"/>
    </cacheField>
    <cacheField name="Margin %" numFmtId="10">
      <sharedItems containsSemiMixedTypes="0" containsString="0" containsNumber="1" minValue="0" maxValue="0.39994734526608761"/>
    </cacheField>
    <cacheField name="Quarters" numFmtId="0" databaseField="0">
      <fieldGroup base="0">
        <rangePr groupBy="quarters" startDate="2024-01-01T00:00:00" endDate="2025-01-01T00:00:00"/>
        <groupItems count="6">
          <s v="&lt;1/1/2024"/>
          <s v="Qtr1"/>
          <s v="Qtr2"/>
          <s v="Qtr3"/>
          <s v="Qtr4"/>
          <s v="&gt;1/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21">
  <r>
    <x v="0"/>
    <s v="North"/>
    <s v="Smartwatch"/>
    <s v="Hannah"/>
    <n v="15"/>
    <n v="1224"/>
    <x v="0"/>
    <n v="18360"/>
    <n v="16451.634259999999"/>
    <n v="1908.365742"/>
    <n v="0.10394148921568627"/>
  </r>
  <r>
    <x v="1"/>
    <s v="North"/>
    <s v="Monitor"/>
    <s v="Eva"/>
    <n v="5"/>
    <n v="1321"/>
    <x v="1"/>
    <n v="6605"/>
    <n v="4457.3517270000002"/>
    <n v="2147.6482729999998"/>
    <n v="0.32515492399697193"/>
  </r>
  <r>
    <x v="2"/>
    <s v="North"/>
    <s v="Mobile"/>
    <s v="Bob"/>
    <n v="11"/>
    <n v="912"/>
    <x v="2"/>
    <n v="10032"/>
    <n v="6563.6441260000001"/>
    <n v="3468.3558739999999"/>
    <n v="0.34572925378787878"/>
  </r>
  <r>
    <x v="3"/>
    <s v="West"/>
    <s v="Monitor"/>
    <s v="Charlie"/>
    <n v="18"/>
    <n v="325"/>
    <x v="1"/>
    <n v="5850"/>
    <n v="4320.807092"/>
    <n v="1529.192908"/>
    <n v="0.26140049709401708"/>
  </r>
  <r>
    <x v="4"/>
    <s v="West"/>
    <s v="Headphones"/>
    <s v="Eva"/>
    <n v="13"/>
    <n v="1042"/>
    <x v="0"/>
    <n v="13546"/>
    <n v="8270.1226659999993"/>
    <n v="5275.8773339999998"/>
    <n v="0.38947861612284068"/>
  </r>
  <r>
    <x v="5"/>
    <s v="West"/>
    <s v="Monitor"/>
    <s v="Charlie"/>
    <n v="11"/>
    <n v="562"/>
    <x v="1"/>
    <n v="6182"/>
    <n v="5177.5199830000001"/>
    <n v="1004.480017"/>
    <n v="0.16248463555483661"/>
  </r>
  <r>
    <x v="6"/>
    <s v="West"/>
    <s v="Headphones"/>
    <s v="Charlie"/>
    <n v="14"/>
    <n v="336"/>
    <x v="0"/>
    <n v="4704"/>
    <n v="4069.5621099999998"/>
    <n v="634.43788959999995"/>
    <n v="0.13487200034013605"/>
  </r>
  <r>
    <x v="0"/>
    <s v="East"/>
    <s v="Camera"/>
    <s v="Grace"/>
    <n v="18"/>
    <n v="1149"/>
    <x v="2"/>
    <n v="20682"/>
    <n v="16665.801909999998"/>
    <n v="4016.198085"/>
    <n v="0.19418809036843632"/>
  </r>
  <r>
    <x v="7"/>
    <s v="East"/>
    <s v="Laptop"/>
    <s v="Grace"/>
    <n v="19"/>
    <n v="1244"/>
    <x v="2"/>
    <n v="23636"/>
    <n v="16081.89912"/>
    <n v="7554.10088"/>
    <n v="0.31960149263834831"/>
  </r>
  <r>
    <x v="8"/>
    <s v="South"/>
    <s v="Printer"/>
    <s v="Hannah"/>
    <n v="15"/>
    <n v="605"/>
    <x v="1"/>
    <n v="9075"/>
    <n v="5780.2907779999996"/>
    <n v="3294.709222"/>
    <n v="0.36305335779614323"/>
  </r>
  <r>
    <x v="9"/>
    <s v="West"/>
    <s v="Headphones"/>
    <s v="unknown"/>
    <n v="9"/>
    <n v="1305"/>
    <x v="0"/>
    <n v="11745"/>
    <n v="8393.4850459999998"/>
    <n v="3351.5149540000002"/>
    <n v="0.2853567436355896"/>
  </r>
  <r>
    <x v="10"/>
    <s v="East"/>
    <s v="Laptop"/>
    <s v="Eva"/>
    <n v="8"/>
    <n v="1834"/>
    <x v="2"/>
    <n v="14672"/>
    <n v="12471.210069999999"/>
    <n v="2200.789933"/>
    <n v="0.14999931386314067"/>
  </r>
  <r>
    <x v="11"/>
    <s v="North"/>
    <s v="Smartwatch"/>
    <s v="Alice"/>
    <n v="1"/>
    <n v="913"/>
    <x v="0"/>
    <n v="913"/>
    <n v="643.07003550000002"/>
    <n v="269.92996449999998"/>
    <n v="0.29565165881708649"/>
  </r>
  <r>
    <x v="12"/>
    <s v="West"/>
    <s v="Mobile"/>
    <s v="Charlie"/>
    <n v="4"/>
    <n v="866"/>
    <x v="2"/>
    <n v="3464"/>
    <n v="2113.9973530000002"/>
    <n v="1350.002647"/>
    <n v="0.38972362788683601"/>
  </r>
  <r>
    <x v="13"/>
    <s v="South"/>
    <s v="Camera"/>
    <s v="Charlie"/>
    <n v="2"/>
    <n v="1666"/>
    <x v="2"/>
    <n v="3332"/>
    <n v="2988.749632"/>
    <n v="343.25036820000003"/>
    <n v="0.10301631698679473"/>
  </r>
  <r>
    <x v="14"/>
    <s v="South"/>
    <s v="Monitor"/>
    <s v="Charlie"/>
    <n v="16"/>
    <n v="1438"/>
    <x v="1"/>
    <n v="23008"/>
    <n v="18475.438419999999"/>
    <n v="4532.5615809999999"/>
    <n v="0.19699937330493741"/>
  </r>
  <r>
    <x v="15"/>
    <s v="North"/>
    <s v="Monitor"/>
    <s v="Eva"/>
    <n v="3"/>
    <n v="1090"/>
    <x v="1"/>
    <n v="3270"/>
    <n v="2845.7385880000002"/>
    <n v="424.26141180000002"/>
    <n v="0.12974355100917431"/>
  </r>
  <r>
    <x v="16"/>
    <s v="East"/>
    <s v="Tablet"/>
    <s v="Charlie"/>
    <n v="8"/>
    <n v="1920"/>
    <x v="2"/>
    <n v="15360"/>
    <n v="12786.57915"/>
    <n v="2573.4208469999999"/>
    <n v="0.1675404197265625"/>
  </r>
  <r>
    <x v="17"/>
    <s v="North"/>
    <s v="Tablet"/>
    <s v="Frank"/>
    <n v="6"/>
    <n v="717"/>
    <x v="2"/>
    <n v="4302"/>
    <n v="3277.7439380000001"/>
    <n v="1024.2560619999999"/>
    <n v="0.23808834542073454"/>
  </r>
  <r>
    <x v="18"/>
    <s v="West"/>
    <s v="Tablet"/>
    <s v="Charlie"/>
    <n v="16"/>
    <n v="1859"/>
    <x v="2"/>
    <n v="29744"/>
    <n v="19173.180550000001"/>
    <n v="10570.819450000001"/>
    <n v="0.3553933381522324"/>
  </r>
  <r>
    <x v="19"/>
    <s v="South"/>
    <s v="Smartwatch"/>
    <s v="Frank"/>
    <n v="16"/>
    <n v="372"/>
    <x v="0"/>
    <n v="5952"/>
    <n v="4193.7395809999998"/>
    <n v="1758.260419"/>
    <n v="0.29540665641801073"/>
  </r>
  <r>
    <x v="20"/>
    <s v="North"/>
    <s v="Headphones"/>
    <s v="Grace"/>
    <n v="7"/>
    <n v="331"/>
    <x v="0"/>
    <n v="2317"/>
    <n v="1795.9578309999999"/>
    <n v="521.04216940000003"/>
    <n v="0.22487793241260251"/>
  </r>
  <r>
    <x v="21"/>
    <s v="North"/>
    <s v="Mobile"/>
    <s v="David"/>
    <n v="13"/>
    <n v="1543"/>
    <x v="2"/>
    <n v="20059"/>
    <n v="17274.60428"/>
    <n v="2784.3957150000001"/>
    <n v="0.13881029537863304"/>
  </r>
  <r>
    <x v="22"/>
    <s v="East"/>
    <s v="Tablet"/>
    <s v="Hannah"/>
    <n v="13"/>
    <n v="867"/>
    <x v="2"/>
    <n v="11271"/>
    <n v="7671.070933"/>
    <n v="3599.929067"/>
    <n v="0.3193974862035312"/>
  </r>
  <r>
    <x v="23"/>
    <s v="East"/>
    <s v="Camera"/>
    <s v="Eva"/>
    <n v="5"/>
    <n v="1565"/>
    <x v="2"/>
    <n v="7825"/>
    <n v="4979.5800760000002"/>
    <n v="2845.4199239999998"/>
    <n v="0.36363193916932907"/>
  </r>
  <r>
    <x v="24"/>
    <s v="South"/>
    <s v="Camera"/>
    <s v="Charlie"/>
    <n v="18"/>
    <n v="595"/>
    <x v="2"/>
    <n v="10710"/>
    <n v="8221.5282360000001"/>
    <n v="2488.4717639999999"/>
    <n v="0.23235030476190474"/>
  </r>
  <r>
    <x v="25"/>
    <s v="North"/>
    <s v="Unknown"/>
    <s v="Frank"/>
    <n v="15"/>
    <n v="1147"/>
    <x v="2"/>
    <n v="17205"/>
    <n v="11234.011060000001"/>
    <n v="5970.9889400000002"/>
    <n v="0.3470496332461494"/>
  </r>
  <r>
    <x v="26"/>
    <s v="North"/>
    <s v="Monitor"/>
    <s v="Frank"/>
    <n v="18"/>
    <n v="1232"/>
    <x v="1"/>
    <n v="22176"/>
    <n v="17366.214779999998"/>
    <n v="4809.7852210000001"/>
    <n v="0.21689146920093796"/>
  </r>
  <r>
    <x v="27"/>
    <s v="East"/>
    <s v="Tablet"/>
    <s v="Grace"/>
    <n v="2"/>
    <n v="1826"/>
    <x v="2"/>
    <n v="3652"/>
    <n v="2479.914092"/>
    <n v="1172.085908"/>
    <n v="0.32094356736035051"/>
  </r>
  <r>
    <x v="28"/>
    <s v="North"/>
    <s v="Mobile"/>
    <s v="Frank"/>
    <n v="10"/>
    <n v="601"/>
    <x v="2"/>
    <n v="6010"/>
    <n v="4022.426297"/>
    <n v="1987.573703"/>
    <n v="0.33071109866888521"/>
  </r>
  <r>
    <x v="29"/>
    <s v="North"/>
    <s v="Tablet"/>
    <s v="Hannah"/>
    <n v="13"/>
    <n v="1982"/>
    <x v="2"/>
    <n v="25766"/>
    <n v="18545.187480000001"/>
    <n v="7220.8125229999996"/>
    <n v="0.28024577051152683"/>
  </r>
  <r>
    <x v="30"/>
    <s v="North"/>
    <s v="Mobile"/>
    <s v="Bob"/>
    <n v="18"/>
    <n v="124"/>
    <x v="2"/>
    <n v="2232"/>
    <n v="1736.4012009999999"/>
    <n v="495.59879910000001"/>
    <n v="0.22204247271505376"/>
  </r>
  <r>
    <x v="2"/>
    <s v="East"/>
    <s v="Camera"/>
    <s v="Alice"/>
    <n v="15"/>
    <n v="1310"/>
    <x v="2"/>
    <n v="19650"/>
    <n v="15004.64768"/>
    <n v="4645.3523180000002"/>
    <n v="0.23640469811704837"/>
  </r>
  <r>
    <x v="31"/>
    <s v="West"/>
    <s v="Smartwatch"/>
    <s v="David"/>
    <n v="15"/>
    <n v="1751"/>
    <x v="0"/>
    <n v="26265"/>
    <n v="22780.55384"/>
    <n v="3484.446164"/>
    <n v="0.1326649976775176"/>
  </r>
  <r>
    <x v="32"/>
    <s v="South"/>
    <s v="Printer"/>
    <s v="Hannah"/>
    <n v="13"/>
    <n v="437"/>
    <x v="1"/>
    <n v="5681"/>
    <n v="3595.8718410000001"/>
    <n v="2085.1281589999999"/>
    <n v="0.36703540908290794"/>
  </r>
  <r>
    <x v="33"/>
    <s v="West"/>
    <s v="Smartwatch"/>
    <s v="Grace"/>
    <n v="18"/>
    <n v="1160"/>
    <x v="0"/>
    <n v="20880"/>
    <n v="12775.224819999999"/>
    <n v="8104.7751850000004"/>
    <n v="0.3881597310823755"/>
  </r>
  <r>
    <x v="34"/>
    <s v="North"/>
    <s v="Camera"/>
    <s v="Grace"/>
    <n v="15"/>
    <n v="1917"/>
    <x v="2"/>
    <n v="28755"/>
    <n v="22452.245630000001"/>
    <n v="6302.7543669999995"/>
    <n v="0.21918811917927317"/>
  </r>
  <r>
    <x v="35"/>
    <s v="South"/>
    <s v="Mobile"/>
    <s v="Hannah"/>
    <n v="11"/>
    <n v="236"/>
    <x v="2"/>
    <n v="2596"/>
    <n v="1653.7095019999999"/>
    <n v="942.29049750000001"/>
    <n v="0.36297784957627122"/>
  </r>
  <r>
    <x v="36"/>
    <s v="West"/>
    <s v="Smartwatch"/>
    <s v="Charlie"/>
    <n v="19"/>
    <n v="607"/>
    <x v="0"/>
    <n v="11533"/>
    <n v="8666.6717279999993"/>
    <n v="2866.3282720000002"/>
    <n v="0.24853275574438569"/>
  </r>
  <r>
    <x v="13"/>
    <s v="East"/>
    <s v="Mobile"/>
    <s v="Bob"/>
    <n v="3"/>
    <n v="326"/>
    <x v="2"/>
    <n v="978"/>
    <n v="866.05028159999995"/>
    <n v="111.94971839999999"/>
    <n v="0.11446801472392637"/>
  </r>
  <r>
    <x v="37"/>
    <s v="East"/>
    <s v="Smartwatch"/>
    <s v="Charlie"/>
    <n v="7"/>
    <n v="419"/>
    <x v="0"/>
    <n v="2933"/>
    <n v="2374.4807810000002"/>
    <n v="558.51921909999999"/>
    <n v="0.19042591854756222"/>
  </r>
  <r>
    <x v="38"/>
    <s v="South"/>
    <s v="Smartwatch"/>
    <s v="Charlie"/>
    <n v="14"/>
    <n v="1963"/>
    <x v="0"/>
    <n v="27482"/>
    <n v="21579.882519999999"/>
    <n v="5902.1174769999998"/>
    <n v="0.2147630258714795"/>
  </r>
  <r>
    <x v="6"/>
    <s v="South"/>
    <s v="Mobile"/>
    <s v="Hannah"/>
    <n v="14"/>
    <n v="1015"/>
    <x v="2"/>
    <n v="14210"/>
    <n v="10976.39467"/>
    <n v="3233.6053259999999"/>
    <n v="0.22755843251231525"/>
  </r>
  <r>
    <x v="39"/>
    <s v="North"/>
    <s v="Headphones"/>
    <s v="Eva"/>
    <n v="13"/>
    <n v="1305"/>
    <x v="0"/>
    <n v="16965"/>
    <n v="11092.765020000001"/>
    <n v="5872.2349759999997"/>
    <n v="0.34613822434423813"/>
  </r>
  <r>
    <x v="40"/>
    <s v="South"/>
    <s v="Smartwatch"/>
    <s v="Eva"/>
    <n v="12"/>
    <n v="1997"/>
    <x v="0"/>
    <n v="23964"/>
    <n v="17488.791740000001"/>
    <n v="6475.208259"/>
    <n v="0.27020565260390583"/>
  </r>
  <r>
    <x v="41"/>
    <s v="North"/>
    <s v="Tablet"/>
    <s v="Eva"/>
    <n v="9"/>
    <n v="185"/>
    <x v="2"/>
    <n v="1665"/>
    <n v="1170.090492"/>
    <n v="494.90950809999998"/>
    <n v="0.2972429478078078"/>
  </r>
  <r>
    <x v="42"/>
    <s v="North"/>
    <s v="Printer"/>
    <s v="Bob"/>
    <n v="1"/>
    <n v="1590"/>
    <x v="1"/>
    <n v="1590"/>
    <n v="1408.616452"/>
    <n v="181.3835483"/>
    <n v="0.11407770333333334"/>
  </r>
  <r>
    <x v="43"/>
    <s v="East"/>
    <s v="Camera"/>
    <s v="Charlie"/>
    <n v="19"/>
    <n v="1025"/>
    <x v="2"/>
    <n v="19475"/>
    <n v="13100.755950000001"/>
    <n v="6374.2440479999996"/>
    <n v="0.32730393057766366"/>
  </r>
  <r>
    <x v="44"/>
    <s v="East"/>
    <s v="Headphones"/>
    <s v="Alice"/>
    <n v="11"/>
    <n v="152"/>
    <x v="0"/>
    <n v="1672"/>
    <n v="1239.712612"/>
    <n v="432.28738809999999"/>
    <n v="0.258545088576555"/>
  </r>
  <r>
    <x v="45"/>
    <s v="West"/>
    <s v="Mobile"/>
    <s v="David"/>
    <n v="19"/>
    <n v="959"/>
    <x v="2"/>
    <n v="18221"/>
    <n v="16060.423220000001"/>
    <n v="2160.5767770000002"/>
    <n v="0.11857619104330169"/>
  </r>
  <r>
    <x v="46"/>
    <s v="East"/>
    <s v="Headphones"/>
    <s v="Eva"/>
    <n v="18"/>
    <n v="966"/>
    <x v="0"/>
    <n v="17388"/>
    <n v="14549.481959999999"/>
    <n v="2838.5180449999998"/>
    <n v="0.16324580429031516"/>
  </r>
  <r>
    <x v="47"/>
    <s v="South"/>
    <s v="Laptop"/>
    <s v="Grace"/>
    <n v="1"/>
    <n v="1902"/>
    <x v="2"/>
    <n v="1902"/>
    <n v="1488.3132439999999"/>
    <n v="413.68675639999998"/>
    <n v="0.21750092344900104"/>
  </r>
  <r>
    <x v="48"/>
    <s v="East"/>
    <s v="Smartwatch"/>
    <s v="Charlie"/>
    <n v="19"/>
    <n v="1922"/>
    <x v="0"/>
    <n v="36518"/>
    <n v="25567.568510000001"/>
    <n v="10950.431490000001"/>
    <n v="0.29986394353469525"/>
  </r>
  <r>
    <x v="49"/>
    <s v="West"/>
    <s v="Unknown"/>
    <s v="Charlie"/>
    <n v="17"/>
    <n v="532"/>
    <x v="0"/>
    <n v="9044"/>
    <n v="7669.2661710000002"/>
    <n v="1374.733829"/>
    <n v="0.1520050673374613"/>
  </r>
  <r>
    <x v="50"/>
    <s v="South"/>
    <s v="Tablet"/>
    <s v="Bob"/>
    <n v="5"/>
    <n v="1619"/>
    <x v="2"/>
    <n v="8095"/>
    <n v="5564.801555"/>
    <n v="2530.198445"/>
    <n v="0.31256311859172331"/>
  </r>
  <r>
    <x v="51"/>
    <s v="West"/>
    <s v="Printer"/>
    <s v="Bob"/>
    <n v="3"/>
    <n v="1098"/>
    <x v="1"/>
    <n v="3294"/>
    <n v="2139.2284829999999"/>
    <n v="1154.7715169999999"/>
    <n v="0.35056815938069213"/>
  </r>
  <r>
    <x v="52"/>
    <s v="East"/>
    <s v="Camera"/>
    <s v="Eva"/>
    <n v="2"/>
    <n v="199"/>
    <x v="2"/>
    <n v="398"/>
    <n v="323.13088440000001"/>
    <n v="74.869115600000001"/>
    <n v="0.18811335577889449"/>
  </r>
  <r>
    <x v="53"/>
    <s v="West"/>
    <s v="Headphones"/>
    <s v="Charlie"/>
    <n v="3"/>
    <n v="1089"/>
    <x v="0"/>
    <n v="3267"/>
    <n v="2586.4404460000001"/>
    <n v="680.55955419999998"/>
    <n v="0.20831330094888276"/>
  </r>
  <r>
    <x v="54"/>
    <s v="South"/>
    <s v="Laptop"/>
    <s v="Alice"/>
    <n v="8"/>
    <n v="698"/>
    <x v="2"/>
    <n v="5584"/>
    <n v="4822.8152019999998"/>
    <n v="761.18479839999998"/>
    <n v="0.13631532922636103"/>
  </r>
  <r>
    <x v="12"/>
    <s v="North"/>
    <s v="Smartwatch"/>
    <s v="David"/>
    <n v="16"/>
    <n v="502"/>
    <x v="0"/>
    <n v="8032"/>
    <n v="7137.0538960000003"/>
    <n v="894.94610360000001"/>
    <n v="0.11142257265936255"/>
  </r>
  <r>
    <x v="55"/>
    <s v="West"/>
    <s v="Monitor"/>
    <s v="Hannah"/>
    <n v="6"/>
    <n v="495"/>
    <x v="1"/>
    <n v="2970"/>
    <n v="2545.76305"/>
    <n v="424.23694979999999"/>
    <n v="0.14284072383838384"/>
  </r>
  <r>
    <x v="56"/>
    <s v="West"/>
    <s v="Monitor"/>
    <s v="Charlie"/>
    <n v="13"/>
    <n v="1650"/>
    <x v="1"/>
    <n v="21450"/>
    <n v="13256.24027"/>
    <n v="8193.7597330000008"/>
    <n v="0.38199346074592078"/>
  </r>
  <r>
    <x v="57"/>
    <s v="South"/>
    <s v="Camera"/>
    <s v="Grace"/>
    <n v="16"/>
    <n v="514"/>
    <x v="2"/>
    <n v="8224"/>
    <n v="6573.8875420000004"/>
    <n v="1650.1124580000001"/>
    <n v="0.20064597008754864"/>
  </r>
  <r>
    <x v="58"/>
    <s v="South"/>
    <s v="Headphones"/>
    <s v="Hannah"/>
    <n v="16"/>
    <n v="1038"/>
    <x v="0"/>
    <n v="16608"/>
    <n v="13874.65077"/>
    <n v="2733.3492259999998"/>
    <n v="0.16458027613198459"/>
  </r>
  <r>
    <x v="59"/>
    <s v="West"/>
    <s v="Smartwatch"/>
    <s v="Charlie"/>
    <n v="3"/>
    <n v="1736"/>
    <x v="0"/>
    <n v="5208"/>
    <n v="4658.9654389999996"/>
    <n v="549.03456110000002"/>
    <n v="0.10542138269969278"/>
  </r>
  <r>
    <x v="60"/>
    <s v="East"/>
    <s v="Smartwatch"/>
    <s v="Frank"/>
    <n v="13"/>
    <n v="776"/>
    <x v="0"/>
    <n v="10088"/>
    <n v="7186.6749570000002"/>
    <n v="2901.3250429999998"/>
    <n v="0.28760161013084851"/>
  </r>
  <r>
    <x v="61"/>
    <s v="West"/>
    <s v="Laptop"/>
    <s v="Bob"/>
    <n v="14"/>
    <n v="562"/>
    <x v="2"/>
    <n v="7868"/>
    <n v="5121.7884990000002"/>
    <n v="2746.2115010000002"/>
    <n v="0.34903552376715813"/>
  </r>
  <r>
    <x v="62"/>
    <s v="South"/>
    <s v="Laptop"/>
    <s v="Grace"/>
    <n v="8"/>
    <n v="640"/>
    <x v="2"/>
    <n v="5120"/>
    <n v="4382.1051829999997"/>
    <n v="737.89481709999995"/>
    <n v="0.14412008146484373"/>
  </r>
  <r>
    <x v="63"/>
    <s v="North"/>
    <s v="Smartwatch"/>
    <s v="David"/>
    <n v="12"/>
    <n v="1749"/>
    <x v="0"/>
    <n v="20988"/>
    <n v="14591.6976"/>
    <n v="6396.3023949999997"/>
    <n v="0.30475997689155709"/>
  </r>
  <r>
    <x v="64"/>
    <s v="North"/>
    <s v="Mobile"/>
    <s v="Eva"/>
    <n v="8"/>
    <n v="1742"/>
    <x v="2"/>
    <n v="13936"/>
    <n v="10862.56249"/>
    <n v="3073.4375140000002"/>
    <n v="0.22053943125717568"/>
  </r>
  <r>
    <x v="65"/>
    <s v="East"/>
    <s v="Smartwatch"/>
    <s v="Grace"/>
    <n v="9"/>
    <n v="1487"/>
    <x v="0"/>
    <n v="13383"/>
    <n v="9595.1884890000001"/>
    <n v="3787.8115109999999"/>
    <n v="0.28303157072405288"/>
  </r>
  <r>
    <x v="66"/>
    <s v="West"/>
    <s v="Camera"/>
    <s v="Charlie"/>
    <n v="1"/>
    <n v="1253"/>
    <x v="2"/>
    <n v="1253"/>
    <n v="903.03443990000005"/>
    <n v="349.9655601"/>
    <n v="0.27930212298483642"/>
  </r>
  <r>
    <x v="67"/>
    <s v="North"/>
    <s v="Smartwatch"/>
    <s v="Eva"/>
    <n v="6"/>
    <n v="183"/>
    <x v="0"/>
    <n v="1098"/>
    <n v="900.07379939999998"/>
    <n v="197.92620059999999"/>
    <n v="0.180260656284153"/>
  </r>
  <r>
    <x v="2"/>
    <s v="West"/>
    <s v="Tablet"/>
    <s v="Charlie"/>
    <n v="19"/>
    <n v="370"/>
    <x v="2"/>
    <n v="7030"/>
    <n v="4980.3510390000001"/>
    <n v="2049.6489609999999"/>
    <n v="0.29155746244665715"/>
  </r>
  <r>
    <x v="8"/>
    <s v="South"/>
    <s v="Printer"/>
    <s v="Eva"/>
    <n v="11"/>
    <n v="343"/>
    <x v="1"/>
    <n v="3773"/>
    <n v="3048.2917200000002"/>
    <n v="724.70827959999997"/>
    <n v="0.19207746610124568"/>
  </r>
  <r>
    <x v="68"/>
    <s v="North"/>
    <s v="Tablet"/>
    <s v="David"/>
    <n v="11"/>
    <n v="487"/>
    <x v="2"/>
    <n v="5357"/>
    <n v="3237.227261"/>
    <n v="2119.772739"/>
    <n v="0.39570146331902184"/>
  </r>
  <r>
    <x v="69"/>
    <s v="East"/>
    <s v="Tablet"/>
    <s v="Bob"/>
    <n v="13"/>
    <n v="313"/>
    <x v="2"/>
    <n v="4069"/>
    <n v="2837.6970689999998"/>
    <n v="1231.3029309999999"/>
    <n v="0.30260578299336444"/>
  </r>
  <r>
    <x v="70"/>
    <s v="South"/>
    <s v="Mobile"/>
    <s v="David"/>
    <n v="11"/>
    <n v="917"/>
    <x v="2"/>
    <n v="10087"/>
    <n v="7017.6591429999999"/>
    <n v="3069.3408570000001"/>
    <n v="0.30428679062159214"/>
  </r>
  <r>
    <x v="71"/>
    <s v="East"/>
    <s v="Mobile"/>
    <s v="Frank"/>
    <n v="18"/>
    <n v="1289"/>
    <x v="2"/>
    <n v="23202"/>
    <n v="19133.542890000001"/>
    <n v="4068.4571089999999"/>
    <n v="0.17534941423153177"/>
  </r>
  <r>
    <x v="72"/>
    <s v="South"/>
    <s v="Monitor"/>
    <s v="Alice"/>
    <n v="15"/>
    <n v="1914"/>
    <x v="1"/>
    <n v="28710"/>
    <n v="19935.280439999999"/>
    <n v="8774.7195599999995"/>
    <n v="0.30563286520376176"/>
  </r>
  <r>
    <x v="73"/>
    <s v="North"/>
    <s v="Smartwatch"/>
    <s v="Bob"/>
    <n v="1"/>
    <n v="158"/>
    <x v="0"/>
    <n v="158"/>
    <n v="124.8197061"/>
    <n v="33.180293929999998"/>
    <n v="0.21000186031645568"/>
  </r>
  <r>
    <x v="74"/>
    <s v="East"/>
    <s v="Tablet"/>
    <s v="David"/>
    <n v="7"/>
    <n v="1725"/>
    <x v="2"/>
    <n v="12075"/>
    <n v="9739.1796470000008"/>
    <n v="2335.8203530000001"/>
    <n v="0.19344267933747414"/>
  </r>
  <r>
    <x v="47"/>
    <s v="East"/>
    <s v="Mobile"/>
    <s v="Frank"/>
    <n v="13"/>
    <n v="982"/>
    <x v="2"/>
    <n v="12766"/>
    <n v="10181.238149999999"/>
    <n v="2584.7618510000002"/>
    <n v="0.20247233675387749"/>
  </r>
  <r>
    <x v="75"/>
    <s v="South"/>
    <s v="Laptop"/>
    <s v="Alice"/>
    <n v="12"/>
    <n v="942"/>
    <x v="2"/>
    <n v="11304"/>
    <n v="8828.2895310000004"/>
    <n v="2475.7104690000001"/>
    <n v="0.21901189570063695"/>
  </r>
  <r>
    <x v="76"/>
    <s v="East"/>
    <s v="Smartwatch"/>
    <s v="Frank"/>
    <n v="18"/>
    <n v="1023"/>
    <x v="0"/>
    <n v="18414"/>
    <n v="13333.3022"/>
    <n v="5080.6978010000003"/>
    <n v="0.27591494520473553"/>
  </r>
  <r>
    <x v="68"/>
    <s v="South"/>
    <s v="Camera"/>
    <s v="Charlie"/>
    <n v="19"/>
    <n v="1627"/>
    <x v="2"/>
    <n v="30913"/>
    <n v="22009.793030000001"/>
    <n v="8903.2069670000001"/>
    <n v="0.28800850668003752"/>
  </r>
  <r>
    <x v="30"/>
    <s v="South"/>
    <s v="Printer"/>
    <s v="Hannah"/>
    <n v="15"/>
    <n v="1829"/>
    <x v="1"/>
    <n v="27435"/>
    <n v="21107.809089999999"/>
    <n v="6327.1909079999996"/>
    <n v="0.23062478250410059"/>
  </r>
  <r>
    <x v="77"/>
    <s v="South"/>
    <s v="Headphones"/>
    <s v="Charlie"/>
    <n v="8"/>
    <n v="222"/>
    <x v="0"/>
    <n v="1776"/>
    <n v="1099.541013"/>
    <n v="676.45898699999998"/>
    <n v="0.38088906925675675"/>
  </r>
  <r>
    <x v="78"/>
    <s v="South"/>
    <s v="Smartwatch"/>
    <s v="Eva"/>
    <n v="19"/>
    <n v="1771"/>
    <x v="0"/>
    <n v="33649"/>
    <n v="29030.538560000001"/>
    <n v="4618.46144"/>
    <n v="0.13725404737139291"/>
  </r>
  <r>
    <x v="79"/>
    <s v="North"/>
    <s v="Headphones"/>
    <s v="Bob"/>
    <n v="10"/>
    <n v="1536"/>
    <x v="0"/>
    <n v="15360"/>
    <n v="13019.052180000001"/>
    <n v="2340.9478210000002"/>
    <n v="0.15240545709635417"/>
  </r>
  <r>
    <x v="80"/>
    <s v="South"/>
    <s v="Tablet"/>
    <s v="Charlie"/>
    <n v="7"/>
    <n v="1262"/>
    <x v="2"/>
    <n v="8834"/>
    <n v="6218.3887770000001"/>
    <n v="2615.6112229999999"/>
    <n v="0.29608458489925288"/>
  </r>
  <r>
    <x v="81"/>
    <s v="West"/>
    <s v="Printer"/>
    <s v="Grace"/>
    <n v="18"/>
    <n v="1352"/>
    <x v="1"/>
    <n v="24336"/>
    <n v="18739.833060000001"/>
    <n v="5596.1669439999996"/>
    <n v="0.22995426298487837"/>
  </r>
  <r>
    <x v="26"/>
    <s v="East"/>
    <s v="Headphones"/>
    <s v="Frank"/>
    <n v="16"/>
    <n v="1397"/>
    <x v="0"/>
    <n v="22352"/>
    <n v="19662.34605"/>
    <n v="2689.6539469999998"/>
    <n v="0.12033169054223335"/>
  </r>
  <r>
    <x v="82"/>
    <s v="West"/>
    <s v="Tablet"/>
    <s v="Bob"/>
    <n v="6"/>
    <n v="538"/>
    <x v="2"/>
    <n v="3228"/>
    <n v="2199.853075"/>
    <n v="1028.146925"/>
    <n v="0.31850896065675344"/>
  </r>
  <r>
    <x v="83"/>
    <s v="North"/>
    <s v="Laptop"/>
    <s v="Hannah"/>
    <n v="9"/>
    <n v="1121"/>
    <x v="2"/>
    <n v="10089"/>
    <n v="8300.5893589999996"/>
    <n v="1788.4106409999999"/>
    <n v="0.17726341966498166"/>
  </r>
  <r>
    <x v="17"/>
    <s v="West"/>
    <s v="Headphones"/>
    <s v="Grace"/>
    <n v="13"/>
    <n v="661"/>
    <x v="0"/>
    <n v="8593"/>
    <n v="5369.0743259999999"/>
    <n v="3223.9256740000001"/>
    <n v="0.37518045781450016"/>
  </r>
  <r>
    <x v="84"/>
    <s v="East"/>
    <s v="Printer"/>
    <s v="Charlie"/>
    <n v="8"/>
    <n v="217"/>
    <x v="1"/>
    <n v="1736"/>
    <n v="1314.1722139999999"/>
    <n v="421.82778560000003"/>
    <n v="0.24298835576036867"/>
  </r>
  <r>
    <x v="85"/>
    <s v="West"/>
    <s v="Monitor"/>
    <s v="unknown"/>
    <n v="16"/>
    <n v="1837"/>
    <x v="1"/>
    <n v="29392"/>
    <n v="25429.6862"/>
    <n v="3962.3138039999999"/>
    <n v="0.13480926115949918"/>
  </r>
  <r>
    <x v="86"/>
    <s v="North"/>
    <s v="Smartwatch"/>
    <s v="David"/>
    <n v="13"/>
    <n v="1004"/>
    <x v="0"/>
    <n v="13052"/>
    <n v="9991.4728730000006"/>
    <n v="3060.5271269999998"/>
    <n v="0.23448721475635917"/>
  </r>
  <r>
    <x v="87"/>
    <s v="South"/>
    <s v="Tablet"/>
    <s v="Eva"/>
    <n v="13"/>
    <n v="1606"/>
    <x v="2"/>
    <n v="20878"/>
    <n v="16386.63796"/>
    <n v="4491.3620440000004"/>
    <n v="0.21512415193026155"/>
  </r>
  <r>
    <x v="53"/>
    <s v="West"/>
    <s v="Smartwatch"/>
    <s v="Grace"/>
    <n v="17"/>
    <n v="494"/>
    <x v="0"/>
    <n v="8398"/>
    <n v="7325.5064359999997"/>
    <n v="1072.4935640000001"/>
    <n v="0.12770821195522744"/>
  </r>
  <r>
    <x v="88"/>
    <s v="North"/>
    <s v="Printer"/>
    <s v="Alice"/>
    <n v="5"/>
    <n v="1826"/>
    <x v="1"/>
    <n v="9130"/>
    <n v="7437.3727929999995"/>
    <n v="1692.627207"/>
    <n v="0.18539180799561883"/>
  </r>
  <r>
    <x v="89"/>
    <s v="North"/>
    <s v="Mobile"/>
    <s v="Charlie"/>
    <n v="17"/>
    <n v="975"/>
    <x v="2"/>
    <n v="16575"/>
    <n v="13405.21198"/>
    <n v="3169.7880150000001"/>
    <n v="0.19123909592760183"/>
  </r>
  <r>
    <x v="90"/>
    <s v="East"/>
    <s v="Tablet"/>
    <s v="Grace"/>
    <n v="9"/>
    <n v="1583"/>
    <x v="2"/>
    <n v="14247"/>
    <n v="11054.463949999999"/>
    <n v="3192.536051"/>
    <n v="0.22408479336000561"/>
  </r>
  <r>
    <x v="91"/>
    <s v="East"/>
    <s v="Headphones"/>
    <s v="Alice"/>
    <n v="2"/>
    <n v="1958"/>
    <x v="0"/>
    <n v="3916"/>
    <n v="3093.2350240000001"/>
    <n v="822.76497600000005"/>
    <n v="0.21010341573033708"/>
  </r>
  <r>
    <x v="77"/>
    <s v="West"/>
    <s v="Tablet"/>
    <s v="Alice"/>
    <n v="18"/>
    <n v="1816"/>
    <x v="2"/>
    <n v="32688"/>
    <n v="27494.256870000001"/>
    <n v="5193.7431299999998"/>
    <n v="0.15888837279735682"/>
  </r>
  <r>
    <x v="92"/>
    <s v="South"/>
    <s v="Smartwatch"/>
    <s v="Frank"/>
    <n v="9"/>
    <n v="1034"/>
    <x v="0"/>
    <n v="9306"/>
    <n v="8317.4229219999997"/>
    <n v="988.57707809999999"/>
    <n v="0.10623007501611863"/>
  </r>
  <r>
    <x v="38"/>
    <s v="North"/>
    <s v="Laptop"/>
    <s v="Bob"/>
    <n v="6"/>
    <n v="1201"/>
    <x v="2"/>
    <n v="7206"/>
    <n v="6042.9343500000004"/>
    <n v="1163.06565"/>
    <n v="0.16140239383846794"/>
  </r>
  <r>
    <x v="93"/>
    <s v="West"/>
    <s v="Tablet"/>
    <s v="Frank"/>
    <n v="11"/>
    <n v="1051"/>
    <x v="2"/>
    <n v="11561"/>
    <n v="9390.5499930000005"/>
    <n v="2170.4500069999999"/>
    <n v="0.18773895052331113"/>
  </r>
  <r>
    <x v="94"/>
    <s v="North"/>
    <s v="Headphones"/>
    <s v="Charlie"/>
    <n v="6"/>
    <n v="1535"/>
    <x v="0"/>
    <n v="9210"/>
    <n v="5900.5105130000002"/>
    <n v="3309.4894869999998"/>
    <n v="0.3593365349619978"/>
  </r>
  <r>
    <x v="95"/>
    <s v="North"/>
    <s v="Mobile"/>
    <s v="Alice"/>
    <n v="6"/>
    <n v="174"/>
    <x v="2"/>
    <n v="1044"/>
    <n v="882.3095773"/>
    <n v="161.6904227"/>
    <n v="0.15487588381226053"/>
  </r>
  <r>
    <x v="96"/>
    <s v="South"/>
    <s v="Monitor"/>
    <s v="Hannah"/>
    <n v="13"/>
    <n v="394"/>
    <x v="1"/>
    <n v="5122"/>
    <n v="4204.1289450000004"/>
    <n v="917.87105510000004"/>
    <n v="0.17920168978914489"/>
  </r>
  <r>
    <x v="97"/>
    <s v="South"/>
    <s v="Camera"/>
    <s v="Grace"/>
    <n v="11"/>
    <n v="1916"/>
    <x v="2"/>
    <n v="21076"/>
    <n v="17516.88869"/>
    <n v="3559.1113150000001"/>
    <n v="0.16887034138356424"/>
  </r>
  <r>
    <x v="98"/>
    <s v="West"/>
    <s v="Laptop"/>
    <s v="David"/>
    <n v="14"/>
    <n v="120"/>
    <x v="2"/>
    <n v="1680"/>
    <n v="1124.4726250000001"/>
    <n v="555.52737500000001"/>
    <n v="0.33067105654761902"/>
  </r>
  <r>
    <x v="99"/>
    <s v="South"/>
    <s v="Monitor"/>
    <s v="Alice"/>
    <n v="2"/>
    <n v="1294"/>
    <x v="1"/>
    <n v="2588"/>
    <n v="2254.233686"/>
    <n v="333.76631400000002"/>
    <n v="0.1289668910355487"/>
  </r>
  <r>
    <x v="100"/>
    <s v="South"/>
    <s v="Unknown"/>
    <s v="Grace"/>
    <n v="8"/>
    <n v="1138"/>
    <x v="2"/>
    <n v="9104"/>
    <n v="5728.094873"/>
    <n v="3375.905127"/>
    <n v="0.37081558952108962"/>
  </r>
  <r>
    <x v="101"/>
    <s v="South"/>
    <s v="Smartwatch"/>
    <s v="David"/>
    <n v="3"/>
    <n v="659"/>
    <x v="0"/>
    <n v="1977"/>
    <n v="1579.4392009999999"/>
    <n v="397.56079870000002"/>
    <n v="0.20109296848760749"/>
  </r>
  <r>
    <x v="12"/>
    <s v="East"/>
    <s v="Printer"/>
    <s v="Frank"/>
    <n v="1"/>
    <n v="1209"/>
    <x v="1"/>
    <n v="1209"/>
    <n v="969.75623599999994"/>
    <n v="239.243764"/>
    <n v="0.19788566087675766"/>
  </r>
  <r>
    <x v="102"/>
    <s v="North"/>
    <s v="Smartwatch"/>
    <s v="Frank"/>
    <n v="19"/>
    <n v="1272"/>
    <x v="0"/>
    <n v="24168"/>
    <n v="16772.528439999998"/>
    <n v="7395.4715640000004"/>
    <n v="0.30600263008937439"/>
  </r>
  <r>
    <x v="51"/>
    <s v="North"/>
    <s v="Unknown"/>
    <s v="Bob"/>
    <n v="18"/>
    <n v="1823"/>
    <x v="1"/>
    <n v="32814"/>
    <n v="26594.30099"/>
    <n v="6219.6990100000003"/>
    <n v="0.18954406686170538"/>
  </r>
  <r>
    <x v="103"/>
    <s v="North"/>
    <s v="Headphones"/>
    <s v="Grace"/>
    <n v="17"/>
    <n v="471"/>
    <x v="0"/>
    <n v="8007"/>
    <n v="5736.0479450000003"/>
    <n v="2270.9520550000002"/>
    <n v="0.28362083864118898"/>
  </r>
  <r>
    <x v="104"/>
    <s v="North"/>
    <s v="Smartwatch"/>
    <s v="Alice"/>
    <n v="13"/>
    <n v="1603"/>
    <x v="0"/>
    <n v="20839"/>
    <n v="12504.49727"/>
    <n v="8334.5027279999995"/>
    <n v="0.39994734526608761"/>
  </r>
  <r>
    <x v="105"/>
    <s v="North"/>
    <s v="Smartwatch"/>
    <s v="Frank"/>
    <n v="1"/>
    <n v="1274"/>
    <x v="0"/>
    <n v="1274"/>
    <n v="1101.736705"/>
    <n v="172.26329519999999"/>
    <n v="0.1352145174254317"/>
  </r>
  <r>
    <x v="106"/>
    <s v="North"/>
    <s v="Headphones"/>
    <s v="Frank"/>
    <n v="4"/>
    <n v="1264"/>
    <x v="0"/>
    <n v="5056"/>
    <n v="3371.3822770000002"/>
    <n v="1684.6177230000001"/>
    <n v="0.33319179647943037"/>
  </r>
  <r>
    <x v="61"/>
    <s v="North"/>
    <s v="Camera"/>
    <s v="Bob"/>
    <n v="13"/>
    <n v="1192"/>
    <x v="2"/>
    <n v="15496"/>
    <n v="9822.4975830000003"/>
    <n v="5673.5024169999997"/>
    <n v="0.36612689836086731"/>
  </r>
  <r>
    <x v="107"/>
    <s v="North"/>
    <s v="Tablet"/>
    <s v="David"/>
    <n v="17"/>
    <n v="1383"/>
    <x v="2"/>
    <n v="23511"/>
    <n v="18918.365529999999"/>
    <n v="4592.6344660000004"/>
    <n v="0.19533981821275151"/>
  </r>
  <r>
    <x v="108"/>
    <s v="East"/>
    <s v="Printer"/>
    <s v="Bob"/>
    <n v="11"/>
    <n v="945"/>
    <x v="1"/>
    <n v="10395"/>
    <n v="7611.3430410000001"/>
    <n v="2783.6569589999999"/>
    <n v="0.26778806724386722"/>
  </r>
  <r>
    <x v="109"/>
    <s v="North"/>
    <s v="Monitor"/>
    <s v="Hannah"/>
    <n v="2"/>
    <n v="620"/>
    <x v="1"/>
    <n v="1240"/>
    <n v="1040.3318280000001"/>
    <n v="199.66817169999999"/>
    <n v="0.16102271911290322"/>
  </r>
  <r>
    <x v="110"/>
    <s v="East"/>
    <s v="Tablet"/>
    <s v="Alice"/>
    <n v="16"/>
    <n v="1756"/>
    <x v="2"/>
    <n v="28096"/>
    <n v="24118.547060000001"/>
    <n v="3977.4529360000001"/>
    <n v="0.14156651964692482"/>
  </r>
  <r>
    <x v="79"/>
    <s v="West"/>
    <s v="Smartwatch"/>
    <s v="Grace"/>
    <n v="2"/>
    <n v="470"/>
    <x v="0"/>
    <n v="940"/>
    <n v="802.56886340000005"/>
    <n v="137.4311366"/>
    <n v="0.14620333680851064"/>
  </r>
  <r>
    <x v="111"/>
    <s v="South"/>
    <s v="Mobile"/>
    <s v="Charlie"/>
    <n v="19"/>
    <n v="1542"/>
    <x v="2"/>
    <n v="29298"/>
    <n v="20329.963230000001"/>
    <n v="8968.0367690000003"/>
    <n v="0.30609723424807156"/>
  </r>
  <r>
    <x v="112"/>
    <s v="North"/>
    <s v="Tablet"/>
    <s v="Charlie"/>
    <n v="19"/>
    <n v="200"/>
    <x v="2"/>
    <n v="3800"/>
    <n v="2856.322369"/>
    <n v="943.67763070000001"/>
    <n v="0.24833621860526317"/>
  </r>
  <r>
    <x v="113"/>
    <s v="South"/>
    <s v="Camera"/>
    <s v="Grace"/>
    <n v="16"/>
    <n v="760"/>
    <x v="2"/>
    <n v="12160"/>
    <n v="9667.7170480000004"/>
    <n v="2492.282952"/>
    <n v="0.20495747960526317"/>
  </r>
  <r>
    <x v="86"/>
    <s v="South"/>
    <s v="Smartwatch"/>
    <s v="David"/>
    <n v="19"/>
    <n v="1781"/>
    <x v="0"/>
    <n v="33839"/>
    <n v="23572.075710000001"/>
    <n v="10266.924290000001"/>
    <n v="0.30340507373149328"/>
  </r>
  <r>
    <x v="114"/>
    <s v="Unknown"/>
    <s v="Printer"/>
    <s v="Hannah"/>
    <n v="9"/>
    <n v="1988"/>
    <x v="1"/>
    <n v="17892"/>
    <n v="10955.804690000001"/>
    <n v="6936.1953149999999"/>
    <n v="0.38767020539906105"/>
  </r>
  <r>
    <x v="91"/>
    <s v="South"/>
    <s v="Headphones"/>
    <s v="Frank"/>
    <n v="1"/>
    <n v="1067"/>
    <x v="0"/>
    <n v="1067"/>
    <n v="798.86216879999995"/>
    <n v="268.13783119999999"/>
    <n v="0.25130068528584815"/>
  </r>
  <r>
    <x v="115"/>
    <s v="East"/>
    <s v="Camera"/>
    <s v="David"/>
    <n v="10"/>
    <n v="342"/>
    <x v="2"/>
    <n v="3420"/>
    <n v="2065.1516099999999"/>
    <n v="1354.8483900000001"/>
    <n v="0.39615450000000002"/>
  </r>
  <r>
    <x v="116"/>
    <s v="South"/>
    <s v="Smartwatch"/>
    <s v="Frank"/>
    <n v="19"/>
    <n v="852"/>
    <x v="0"/>
    <n v="16188"/>
    <n v="14329.51541"/>
    <n v="1858.484588"/>
    <n v="0.1148063125772177"/>
  </r>
  <r>
    <x v="117"/>
    <s v="South"/>
    <s v="Camera"/>
    <s v="unknown"/>
    <n v="1"/>
    <n v="611"/>
    <x v="2"/>
    <n v="611"/>
    <n v="512.63211230000002"/>
    <n v="98.367887670000002"/>
    <n v="0.16099490617021278"/>
  </r>
  <r>
    <x v="118"/>
    <s v="South"/>
    <s v="Tablet"/>
    <s v="Charlie"/>
    <n v="2"/>
    <n v="948"/>
    <x v="2"/>
    <n v="1896"/>
    <n v="1246.815161"/>
    <n v="649.18483909999998"/>
    <n v="0.34239706703586498"/>
  </r>
  <r>
    <x v="91"/>
    <s v="North"/>
    <s v="Printer"/>
    <s v="David"/>
    <n v="16"/>
    <n v="654"/>
    <x v="1"/>
    <n v="10464"/>
    <n v="7181.1452339999996"/>
    <n v="3282.8547659999999"/>
    <n v="0.31372847534403669"/>
  </r>
  <r>
    <x v="73"/>
    <s v="North"/>
    <s v="Headphones"/>
    <s v="Hannah"/>
    <n v="12"/>
    <n v="1218"/>
    <x v="0"/>
    <n v="14616"/>
    <n v="13079.15047"/>
    <n v="1536.8495350000001"/>
    <n v="0.10514843561850028"/>
  </r>
  <r>
    <x v="119"/>
    <s v="East"/>
    <s v="Laptop"/>
    <s v="Frank"/>
    <n v="18"/>
    <n v="1641"/>
    <x v="2"/>
    <n v="29538"/>
    <n v="24667.677299999999"/>
    <n v="4870.3227020000004"/>
    <n v="0.16488329277540797"/>
  </r>
  <r>
    <x v="120"/>
    <s v="North"/>
    <s v="Monitor"/>
    <s v="Eva"/>
    <n v="2"/>
    <n v="313"/>
    <x v="1"/>
    <n v="626"/>
    <n v="459.51194500000003"/>
    <n v="166.488055"/>
    <n v="0.26595535942492016"/>
  </r>
  <r>
    <x v="121"/>
    <s v="East"/>
    <s v="Headphones"/>
    <s v="Eva"/>
    <n v="13"/>
    <n v="817"/>
    <x v="0"/>
    <n v="10621"/>
    <n v="9125.8688430000002"/>
    <n v="1495.131157"/>
    <n v="0.14077122276621787"/>
  </r>
  <r>
    <x v="122"/>
    <s v="North"/>
    <s v="Laptop"/>
    <s v="Bob"/>
    <n v="6"/>
    <n v="166"/>
    <x v="2"/>
    <n v="996"/>
    <n v="807.8815482"/>
    <n v="188.1184518"/>
    <n v="0.18887394759036144"/>
  </r>
  <r>
    <x v="123"/>
    <s v="West"/>
    <s v="Camera"/>
    <s v="Eva"/>
    <n v="6"/>
    <n v="495"/>
    <x v="2"/>
    <n v="2970"/>
    <n v="1802.412863"/>
    <n v="1167.587137"/>
    <n v="0.39312698215488218"/>
  </r>
  <r>
    <x v="124"/>
    <s v="South"/>
    <s v="Headphones"/>
    <s v="Frank"/>
    <n v="16"/>
    <n v="1135"/>
    <x v="0"/>
    <n v="18160"/>
    <n v="13935.942129999999"/>
    <n v="4224.0578679999999"/>
    <n v="0.23260230550660793"/>
  </r>
  <r>
    <x v="125"/>
    <s v="East"/>
    <s v="Camera"/>
    <s v="Bob"/>
    <n v="11"/>
    <n v="1360"/>
    <x v="2"/>
    <n v="14960"/>
    <n v="13132.669110000001"/>
    <n v="1827.33089"/>
    <n v="0.12214778676470588"/>
  </r>
  <r>
    <x v="126"/>
    <s v="North"/>
    <s v="Laptop"/>
    <s v="David"/>
    <n v="7"/>
    <n v="1957"/>
    <x v="2"/>
    <n v="13699"/>
    <n v="8638.7122579999996"/>
    <n v="5060.2877420000004"/>
    <n v="0.36939103160814662"/>
  </r>
  <r>
    <x v="127"/>
    <s v="North"/>
    <s v="Tablet"/>
    <s v="Frank"/>
    <n v="10"/>
    <n v="869"/>
    <x v="2"/>
    <n v="8690"/>
    <n v="6781.2307360000004"/>
    <n v="1908.769264"/>
    <n v="0.21965123866513234"/>
  </r>
  <r>
    <x v="128"/>
    <s v="East"/>
    <s v="Tablet"/>
    <s v="Bob"/>
    <n v="10"/>
    <n v="1522"/>
    <x v="2"/>
    <n v="15220"/>
    <n v="10511.738960000001"/>
    <n v="4708.2610439999999"/>
    <n v="0.3093469805519054"/>
  </r>
  <r>
    <x v="29"/>
    <s v="North"/>
    <s v="Mobile"/>
    <s v="unknown"/>
    <n v="18"/>
    <n v="506"/>
    <x v="2"/>
    <n v="9108"/>
    <n v="7894.7992320000003"/>
    <n v="1213.2007679999999"/>
    <n v="0.1332016653491436"/>
  </r>
  <r>
    <x v="129"/>
    <s v="West"/>
    <s v="Monitor"/>
    <s v="Hannah"/>
    <n v="9"/>
    <n v="1024"/>
    <x v="1"/>
    <n v="9216"/>
    <n v="7645.1409370000001"/>
    <n v="1570.8590630000001"/>
    <n v="0.17044911707899307"/>
  </r>
  <r>
    <x v="98"/>
    <s v="South"/>
    <s v="Headphones"/>
    <s v="David"/>
    <n v="15"/>
    <n v="1972"/>
    <x v="0"/>
    <n v="29580"/>
    <n v="21028.741959999999"/>
    <n v="8551.2580450000005"/>
    <n v="0.28908918340094658"/>
  </r>
  <r>
    <x v="130"/>
    <s v="East"/>
    <s v="Headphones"/>
    <s v="Hannah"/>
    <n v="4"/>
    <n v="1603"/>
    <x v="0"/>
    <n v="6412"/>
    <n v="4168.6396459999996"/>
    <n v="2243.3603539999999"/>
    <n v="0.3498690508421709"/>
  </r>
  <r>
    <x v="127"/>
    <s v="East"/>
    <s v="Headphones"/>
    <s v="Charlie"/>
    <n v="8"/>
    <n v="746"/>
    <x v="0"/>
    <n v="5968"/>
    <n v="3601.3859699999998"/>
    <n v="2366.6140300000002"/>
    <n v="0.39655060824396787"/>
  </r>
  <r>
    <x v="92"/>
    <s v="North"/>
    <s v="Monitor"/>
    <s v="Frank"/>
    <n v="9"/>
    <n v="321"/>
    <x v="1"/>
    <n v="2889"/>
    <n v="2271.737228"/>
    <n v="617.26277159999995"/>
    <n v="0.21365966479750778"/>
  </r>
  <r>
    <x v="131"/>
    <s v="East"/>
    <s v="Camera"/>
    <s v="David"/>
    <n v="13"/>
    <n v="1279"/>
    <x v="2"/>
    <n v="16627"/>
    <n v="12001.98616"/>
    <n v="4625.0138349999997"/>
    <n v="0.27816285770132915"/>
  </r>
  <r>
    <x v="62"/>
    <s v="West"/>
    <s v="Printer"/>
    <s v="Hannah"/>
    <n v="9"/>
    <n v="753"/>
    <x v="1"/>
    <n v="6777"/>
    <n v="4706.1314259999999"/>
    <n v="2070.8685740000001"/>
    <n v="0.30557305208794455"/>
  </r>
  <r>
    <x v="48"/>
    <s v="North"/>
    <s v="Printer"/>
    <s v="Eva"/>
    <n v="4"/>
    <n v="527"/>
    <x v="1"/>
    <n v="2108"/>
    <n v="1888.031649"/>
    <n v="219.9683508"/>
    <n v="0.10434931252371916"/>
  </r>
  <r>
    <x v="132"/>
    <s v="North"/>
    <s v="Mobile"/>
    <s v="Hannah"/>
    <n v="17"/>
    <n v="1281"/>
    <x v="2"/>
    <n v="21777"/>
    <n v="16111.553190000001"/>
    <n v="5665.4468139999999"/>
    <n v="0.26015735932405748"/>
  </r>
  <r>
    <x v="9"/>
    <s v="North"/>
    <s v="Headphones"/>
    <s v="Bob"/>
    <n v="16"/>
    <n v="1076"/>
    <x v="0"/>
    <n v="17216"/>
    <n v="14202.369930000001"/>
    <n v="3013.6300679999999"/>
    <n v="0.17504821491635689"/>
  </r>
  <r>
    <x v="133"/>
    <s v="North"/>
    <s v="Camera"/>
    <s v="Frank"/>
    <n v="15"/>
    <n v="1539"/>
    <x v="2"/>
    <n v="23085"/>
    <n v="15079.6697"/>
    <n v="8005.3303040000001"/>
    <n v="0.34677627481048301"/>
  </r>
  <r>
    <x v="91"/>
    <s v="North"/>
    <s v="Laptop"/>
    <s v="Hannah"/>
    <n v="5"/>
    <n v="1449"/>
    <x v="2"/>
    <n v="7245"/>
    <n v="5254.5723529999996"/>
    <n v="1990.427647"/>
    <n v="0.27473121421670116"/>
  </r>
  <r>
    <x v="69"/>
    <s v="East"/>
    <s v="Camera"/>
    <s v="David"/>
    <n v="5"/>
    <n v="470"/>
    <x v="2"/>
    <n v="2350"/>
    <n v="1879.293709"/>
    <n v="470.7062914"/>
    <n v="0.2003005495319149"/>
  </r>
  <r>
    <x v="134"/>
    <s v="West"/>
    <s v="Monitor"/>
    <s v="David"/>
    <n v="15"/>
    <n v="1467"/>
    <x v="1"/>
    <n v="22005"/>
    <n v="16547.311290000001"/>
    <n v="5457.6887070000002"/>
    <n v="0.24802039113837765"/>
  </r>
  <r>
    <x v="109"/>
    <s v="South"/>
    <s v="Printer"/>
    <s v="Grace"/>
    <n v="18"/>
    <n v="1385"/>
    <x v="1"/>
    <n v="24930"/>
    <n v="21617.797139999999"/>
    <n v="3312.202859"/>
    <n v="0.13286012270357"/>
  </r>
  <r>
    <x v="135"/>
    <s v="South"/>
    <s v="Printer"/>
    <s v="Hannah"/>
    <n v="15"/>
    <n v="1406"/>
    <x v="1"/>
    <n v="21090"/>
    <n v="15399.787350000001"/>
    <n v="5690.2126449999996"/>
    <n v="0.26980619464201039"/>
  </r>
  <r>
    <x v="136"/>
    <s v="East"/>
    <s v="Tablet"/>
    <s v="Frank"/>
    <n v="2"/>
    <n v="949"/>
    <x v="2"/>
    <n v="1898"/>
    <n v="1315.885002"/>
    <n v="582.11499819999995"/>
    <n v="0.30669915605900944"/>
  </r>
  <r>
    <x v="137"/>
    <s v="East"/>
    <s v="Tablet"/>
    <s v="Frank"/>
    <n v="13"/>
    <n v="955"/>
    <x v="2"/>
    <n v="12415"/>
    <n v="10860.82329"/>
    <n v="1554.1767050000001"/>
    <n v="0.12518539710028193"/>
  </r>
  <r>
    <x v="138"/>
    <s v="West"/>
    <s v="Monitor"/>
    <s v="Charlie"/>
    <n v="4"/>
    <n v="328"/>
    <x v="1"/>
    <n v="1312"/>
    <n v="947.3173769"/>
    <n v="364.6826231"/>
    <n v="0.27795931638719512"/>
  </r>
  <r>
    <x v="108"/>
    <s v="South"/>
    <s v="Laptop"/>
    <s v="Grace"/>
    <n v="10"/>
    <n v="379"/>
    <x v="2"/>
    <n v="3790"/>
    <n v="2580.5896189999999"/>
    <n v="1209.4103809999999"/>
    <n v="0.31910564142480208"/>
  </r>
  <r>
    <x v="139"/>
    <s v="South"/>
    <s v="Tablet"/>
    <s v="Hannah"/>
    <n v="13"/>
    <n v="1993"/>
    <x v="2"/>
    <n v="25909"/>
    <n v="16304.490250000001"/>
    <n v="9604.5097480000004"/>
    <n v="0.3707016769462349"/>
  </r>
  <r>
    <x v="140"/>
    <s v="South"/>
    <s v="Laptop"/>
    <s v="Charlie"/>
    <n v="9"/>
    <n v="1803"/>
    <x v="2"/>
    <n v="16227"/>
    <n v="13752.827740000001"/>
    <n v="2474.1722599999998"/>
    <n v="0.1524725617797498"/>
  </r>
  <r>
    <x v="141"/>
    <s v="South"/>
    <s v="Tablet"/>
    <s v="Grace"/>
    <n v="8"/>
    <n v="1170"/>
    <x v="2"/>
    <n v="9360"/>
    <n v="5709.5001759999996"/>
    <n v="3650.499824"/>
    <n v="0.39001066495726494"/>
  </r>
  <r>
    <x v="134"/>
    <s v="North"/>
    <s v="Smartwatch"/>
    <s v="Hannah"/>
    <n v="3"/>
    <n v="1074"/>
    <x v="0"/>
    <n v="3222"/>
    <n v="2279.8668349999998"/>
    <n v="942.13316459999999"/>
    <n v="0.29240632048417131"/>
  </r>
  <r>
    <x v="37"/>
    <s v="East"/>
    <s v="Camera"/>
    <s v="Hannah"/>
    <n v="16"/>
    <n v="1838"/>
    <x v="2"/>
    <n v="29408"/>
    <n v="24260.510030000001"/>
    <n v="5147.4899670000004"/>
    <n v="0.17503706362214366"/>
  </r>
  <r>
    <x v="142"/>
    <s v="North"/>
    <s v="Tablet"/>
    <s v="Charlie"/>
    <n v="14"/>
    <n v="1337"/>
    <x v="2"/>
    <n v="18718"/>
    <n v="16545.11263"/>
    <n v="2172.8873739999999"/>
    <n v="0.11608544577412117"/>
  </r>
  <r>
    <x v="101"/>
    <s v="South"/>
    <s v="Mobile"/>
    <s v="Eva"/>
    <n v="9"/>
    <n v="857"/>
    <x v="2"/>
    <n v="7713"/>
    <n v="5502.033727"/>
    <n v="2210.966273"/>
    <n v="0.28665451484506677"/>
  </r>
  <r>
    <x v="143"/>
    <s v="West"/>
    <s v="Headphones"/>
    <s v="Grace"/>
    <n v="11"/>
    <n v="1147"/>
    <x v="0"/>
    <n v="12617"/>
    <n v="10871.00944"/>
    <n v="1745.9905570000001"/>
    <n v="0.13838397059522867"/>
  </r>
  <r>
    <x v="144"/>
    <s v="West"/>
    <s v="Tablet"/>
    <s v="Hannah"/>
    <n v="3"/>
    <n v="420"/>
    <x v="2"/>
    <n v="1260"/>
    <n v="904.82631370000001"/>
    <n v="355.17368629999999"/>
    <n v="0.281883878015873"/>
  </r>
  <r>
    <x v="123"/>
    <s v="South"/>
    <s v="Printer"/>
    <s v="Hannah"/>
    <n v="5"/>
    <n v="373"/>
    <x v="1"/>
    <n v="1865"/>
    <n v="1219.427244"/>
    <n v="645.57275609999999"/>
    <n v="0.34615161184986593"/>
  </r>
  <r>
    <x v="117"/>
    <s v="South"/>
    <s v="Printer"/>
    <s v="unknown"/>
    <n v="10"/>
    <n v="655"/>
    <x v="1"/>
    <n v="6550"/>
    <n v="3936.7716730000002"/>
    <n v="2613.2283269999998"/>
    <n v="0.39896615679389308"/>
  </r>
  <r>
    <x v="137"/>
    <s v="West"/>
    <s v="Printer"/>
    <s v="Alice"/>
    <n v="13"/>
    <n v="943"/>
    <x v="1"/>
    <n v="12259"/>
    <n v="8569.7067490000009"/>
    <n v="3689.2932510000001"/>
    <n v="0.30094569304184682"/>
  </r>
  <r>
    <x v="145"/>
    <s v="North"/>
    <s v="Headphones"/>
    <s v="Charlie"/>
    <n v="4"/>
    <n v="1436"/>
    <x v="0"/>
    <n v="5744"/>
    <n v="4098.5882069999998"/>
    <n v="1645.411793"/>
    <n v="0.28645748485376044"/>
  </r>
  <r>
    <x v="146"/>
    <s v="North"/>
    <s v="Printer"/>
    <s v="Charlie"/>
    <n v="13"/>
    <n v="1486"/>
    <x v="1"/>
    <n v="19318"/>
    <n v="17068.134129999999"/>
    <n v="2249.8658730000002"/>
    <n v="0.11646474132933017"/>
  </r>
  <r>
    <x v="140"/>
    <s v="South"/>
    <s v="Smartwatch"/>
    <s v="David"/>
    <n v="12"/>
    <n v="767"/>
    <x v="0"/>
    <n v="9204"/>
    <n v="6091.4011810000002"/>
    <n v="3112.5988189999998"/>
    <n v="0.33817892427205559"/>
  </r>
  <r>
    <x v="116"/>
    <s v="North"/>
    <s v="Tablet"/>
    <s v="unknown"/>
    <n v="5"/>
    <n v="1099"/>
    <x v="2"/>
    <n v="5495"/>
    <n v="3927.1073219999998"/>
    <n v="1567.8926779999999"/>
    <n v="0.28533078762511371"/>
  </r>
  <r>
    <x v="95"/>
    <s v="West"/>
    <s v="Monitor"/>
    <s v="Bob"/>
    <n v="10"/>
    <n v="479"/>
    <x v="1"/>
    <n v="4790"/>
    <n v="2910.1464850000002"/>
    <n v="1879.853515"/>
    <n v="0.39245376096033402"/>
  </r>
  <r>
    <x v="146"/>
    <s v="South"/>
    <s v="Laptop"/>
    <s v="Grace"/>
    <n v="7"/>
    <n v="1797"/>
    <x v="2"/>
    <n v="12579"/>
    <n v="11000.868479999999"/>
    <n v="1578.131517"/>
    <n v="0.12545762914381112"/>
  </r>
  <r>
    <x v="104"/>
    <s v="West"/>
    <s v="Monitor"/>
    <s v="Grace"/>
    <n v="2"/>
    <n v="1593"/>
    <x v="1"/>
    <n v="3186"/>
    <n v="2138.9089749999998"/>
    <n v="1047.0910249999999"/>
    <n v="0.32865380571249214"/>
  </r>
  <r>
    <x v="146"/>
    <s v="North"/>
    <s v="Headphones"/>
    <s v="Grace"/>
    <n v="7"/>
    <n v="845"/>
    <x v="0"/>
    <n v="5915"/>
    <n v="4310.2518239999999"/>
    <n v="1604.7481760000001"/>
    <n v="0.2713014667793745"/>
  </r>
  <r>
    <x v="53"/>
    <s v="Unknown"/>
    <s v="Smartwatch"/>
    <s v="Alice"/>
    <n v="8"/>
    <n v="774"/>
    <x v="0"/>
    <n v="6192"/>
    <n v="3942.0364049999998"/>
    <n v="2249.9635950000002"/>
    <n v="0.3633662136627907"/>
  </r>
  <r>
    <x v="124"/>
    <s v="West"/>
    <s v="Laptop"/>
    <s v="Hannah"/>
    <n v="7"/>
    <n v="215"/>
    <x v="2"/>
    <n v="1505"/>
    <n v="1109.261197"/>
    <n v="395.73880320000001"/>
    <n v="0.26294937089700998"/>
  </r>
  <r>
    <x v="146"/>
    <s v="West"/>
    <s v="Laptop"/>
    <s v="Grace"/>
    <n v="14"/>
    <n v="704"/>
    <x v="2"/>
    <n v="9856"/>
    <n v="6307.8669970000001"/>
    <n v="3548.1330029999999"/>
    <n v="0.35999726085633116"/>
  </r>
  <r>
    <x v="147"/>
    <s v="East"/>
    <s v="Laptop"/>
    <s v="Eva"/>
    <n v="5"/>
    <n v="1919"/>
    <x v="2"/>
    <n v="9595"/>
    <n v="7871.6095429999996"/>
    <n v="1723.390457"/>
    <n v="0.17961338791036999"/>
  </r>
  <r>
    <x v="148"/>
    <s v="West"/>
    <s v="Monitor"/>
    <s v="Frank"/>
    <n v="18"/>
    <n v="478"/>
    <x v="1"/>
    <n v="8604"/>
    <n v="6590.6883699999998"/>
    <n v="2013.3116299999999"/>
    <n v="0.23399716759646674"/>
  </r>
  <r>
    <x v="56"/>
    <s v="East"/>
    <s v="Monitor"/>
    <s v="Frank"/>
    <n v="12"/>
    <n v="1845"/>
    <x v="1"/>
    <n v="22140"/>
    <n v="14912.748439999999"/>
    <n v="7227.2515599999997"/>
    <n v="0.32643412646793135"/>
  </r>
  <r>
    <x v="149"/>
    <s v="South"/>
    <s v="Tablet"/>
    <s v="David"/>
    <n v="17"/>
    <n v="1329"/>
    <x v="2"/>
    <n v="22593"/>
    <n v="15953.793809999999"/>
    <n v="6639.2061899999999"/>
    <n v="0.29386120435533131"/>
  </r>
  <r>
    <x v="150"/>
    <s v="Unknown"/>
    <s v="Printer"/>
    <s v="David"/>
    <n v="13"/>
    <n v="565"/>
    <x v="1"/>
    <n v="7345"/>
    <n v="5814.0950279999997"/>
    <n v="1530.904972"/>
    <n v="0.20842817862491492"/>
  </r>
  <r>
    <x v="134"/>
    <s v="South"/>
    <s v="Camera"/>
    <s v="Grace"/>
    <n v="2"/>
    <n v="1855"/>
    <x v="2"/>
    <n v="3710"/>
    <n v="2882.3977799999998"/>
    <n v="827.60221999999999"/>
    <n v="0.22307337466307278"/>
  </r>
  <r>
    <x v="151"/>
    <s v="West"/>
    <s v="Tablet"/>
    <s v="Eva"/>
    <n v="13"/>
    <n v="379"/>
    <x v="2"/>
    <n v="4927"/>
    <n v="3158.366814"/>
    <n v="1768.633186"/>
    <n v="0.35896756362898313"/>
  </r>
  <r>
    <x v="147"/>
    <s v="East"/>
    <s v="Tablet"/>
    <s v="Grace"/>
    <n v="7"/>
    <n v="1771"/>
    <x v="2"/>
    <n v="12397"/>
    <n v="10580.651589999999"/>
    <n v="1816.3484129999999"/>
    <n v="0.14651515794143743"/>
  </r>
  <r>
    <x v="47"/>
    <s v="East"/>
    <s v="Smartwatch"/>
    <s v="David"/>
    <n v="10"/>
    <n v="717"/>
    <x v="0"/>
    <n v="7170"/>
    <n v="5324.1313499999997"/>
    <n v="1845.8686499999999"/>
    <n v="0.25744332635983264"/>
  </r>
  <r>
    <x v="101"/>
    <s v="North"/>
    <s v="Smartwatch"/>
    <s v="Alice"/>
    <n v="6"/>
    <n v="217"/>
    <x v="0"/>
    <n v="1302"/>
    <n v="844.62141910000003"/>
    <n v="457.37858089999997"/>
    <n v="0.35128923264208906"/>
  </r>
  <r>
    <x v="61"/>
    <s v="North"/>
    <s v="Printer"/>
    <s v="Alice"/>
    <n v="3"/>
    <n v="1360"/>
    <x v="1"/>
    <n v="4080"/>
    <n v="2598.339688"/>
    <n v="1481.660312"/>
    <n v="0.36315203725490197"/>
  </r>
  <r>
    <x v="123"/>
    <s v="East"/>
    <s v="Camera"/>
    <s v="Hannah"/>
    <n v="3"/>
    <n v="408"/>
    <x v="2"/>
    <n v="1224"/>
    <n v="1088.9506120000001"/>
    <n v="135.0493884"/>
    <n v="0.11033446764705883"/>
  </r>
  <r>
    <x v="139"/>
    <s v="East"/>
    <s v="Smartwatch"/>
    <s v="Bob"/>
    <n v="18"/>
    <n v="1579"/>
    <x v="0"/>
    <n v="28422"/>
    <n v="19453.737280000001"/>
    <n v="8968.2627209999991"/>
    <n v="0.31553946664555621"/>
  </r>
  <r>
    <x v="152"/>
    <s v="East"/>
    <s v="Printer"/>
    <s v="Frank"/>
    <n v="11"/>
    <n v="1598"/>
    <x v="1"/>
    <n v="17578"/>
    <n v="15338.17743"/>
    <n v="2239.8225729999999"/>
    <n v="0.1274219235976789"/>
  </r>
  <r>
    <x v="153"/>
    <s v="West"/>
    <s v="Printer"/>
    <s v="unknown"/>
    <n v="5"/>
    <n v="199"/>
    <x v="1"/>
    <n v="995"/>
    <n v="719.55971169999998"/>
    <n v="275.44028830000002"/>
    <n v="0.27682441035175881"/>
  </r>
  <r>
    <x v="154"/>
    <s v="East"/>
    <s v="Monitor"/>
    <s v="Charlie"/>
    <n v="19"/>
    <n v="360"/>
    <x v="1"/>
    <n v="6840"/>
    <n v="4895.9107750000003"/>
    <n v="1944.0892249999999"/>
    <n v="0.28422357090643274"/>
  </r>
  <r>
    <x v="155"/>
    <s v="North"/>
    <s v="Unknown"/>
    <s v="Frank"/>
    <n v="19"/>
    <n v="1092"/>
    <x v="2"/>
    <n v="20748"/>
    <n v="16811.66228"/>
    <n v="3936.3377209999999"/>
    <n v="0.18972130909003276"/>
  </r>
  <r>
    <x v="156"/>
    <s v="West"/>
    <s v="Monitor"/>
    <s v="Charlie"/>
    <n v="15"/>
    <n v="1428"/>
    <x v="1"/>
    <n v="21420"/>
    <n v="12915.51001"/>
    <n v="8504.4899929999992"/>
    <n v="0.39703501367880484"/>
  </r>
  <r>
    <x v="107"/>
    <s v="East"/>
    <s v="Camera"/>
    <s v="Bob"/>
    <n v="16"/>
    <n v="1477"/>
    <x v="2"/>
    <n v="23632"/>
    <n v="16576.119470000001"/>
    <n v="7055.8805270000003"/>
    <n v="0.29857314349187541"/>
  </r>
  <r>
    <x v="18"/>
    <s v="North"/>
    <s v="Smartwatch"/>
    <s v="Bob"/>
    <n v="9"/>
    <n v="385"/>
    <x v="0"/>
    <n v="3465"/>
    <n v="2393.600218"/>
    <n v="1071.399782"/>
    <n v="0.30920628629148628"/>
  </r>
  <r>
    <x v="75"/>
    <s v="West"/>
    <s v="Camera"/>
    <s v="Grace"/>
    <n v="4"/>
    <n v="-10"/>
    <x v="2"/>
    <n v="-40"/>
    <n v="-34.417177129999999"/>
    <n v="-5.5828228690000001"/>
    <n v="0.13957057172500001"/>
  </r>
  <r>
    <x v="157"/>
    <s v="East"/>
    <s v="Tablet"/>
    <s v="David"/>
    <n v="15"/>
    <n v="1226"/>
    <x v="2"/>
    <n v="18390"/>
    <n v="13953.174559999999"/>
    <n v="4436.8254349999997"/>
    <n v="0.2412629382816748"/>
  </r>
  <r>
    <x v="158"/>
    <s v="East"/>
    <s v="Tablet"/>
    <s v="Bob"/>
    <n v="12"/>
    <n v="162"/>
    <x v="2"/>
    <n v="1944"/>
    <n v="1379.0173159999999"/>
    <n v="564.98268429999996"/>
    <n v="0.29062895282921808"/>
  </r>
  <r>
    <x v="139"/>
    <s v="East"/>
    <s v="Camera"/>
    <s v="Bob"/>
    <n v="3"/>
    <n v="786"/>
    <x v="2"/>
    <n v="2358"/>
    <n v="1603.024504"/>
    <n v="754.97549590000006"/>
    <n v="0.32017620691263787"/>
  </r>
  <r>
    <x v="159"/>
    <s v="West"/>
    <s v="Mobile"/>
    <s v="Charlie"/>
    <n v="14"/>
    <n v="1405"/>
    <x v="2"/>
    <n v="19670"/>
    <n v="15286.598379999999"/>
    <n v="4383.4016179999999"/>
    <n v="0.22284705734621249"/>
  </r>
  <r>
    <x v="160"/>
    <s v="North"/>
    <s v="Mobile"/>
    <s v="David"/>
    <n v="17"/>
    <n v="1564"/>
    <x v="2"/>
    <n v="26588"/>
    <n v="17162.605640000002"/>
    <n v="9425.3943619999991"/>
    <n v="0.35449805784564464"/>
  </r>
  <r>
    <x v="161"/>
    <s v="North"/>
    <s v="Monitor"/>
    <s v="Bob"/>
    <n v="19"/>
    <n v="1416"/>
    <x v="1"/>
    <n v="26904"/>
    <n v="18129.567930000001"/>
    <n v="8774.4320719999996"/>
    <n v="0.32613856943205471"/>
  </r>
  <r>
    <x v="93"/>
    <s v="South"/>
    <s v="Camera"/>
    <s v="Frank"/>
    <n v="6"/>
    <n v="837"/>
    <x v="2"/>
    <n v="5022"/>
    <n v="3455.5560879999998"/>
    <n v="1566.443912"/>
    <n v="0.31191635045798488"/>
  </r>
  <r>
    <x v="162"/>
    <s v="East"/>
    <s v="Smartwatch"/>
    <s v="Hannah"/>
    <n v="4"/>
    <n v="1130"/>
    <x v="0"/>
    <n v="4520"/>
    <n v="3536.324533"/>
    <n v="983.67546700000003"/>
    <n v="0.21762731570796462"/>
  </r>
  <r>
    <x v="124"/>
    <s v="South"/>
    <s v="Monitor"/>
    <s v="Bob"/>
    <n v="7"/>
    <n v="738"/>
    <x v="1"/>
    <n v="5166"/>
    <n v="3678.0705349999998"/>
    <n v="1487.9294649999999"/>
    <n v="0.28802351238869528"/>
  </r>
  <r>
    <x v="163"/>
    <s v="South"/>
    <s v="Headphones"/>
    <s v="Hannah"/>
    <n v="19"/>
    <n v="1035"/>
    <x v="0"/>
    <n v="19665"/>
    <n v="14782.86858"/>
    <n v="4882.131421"/>
    <n v="0.24826500996694637"/>
  </r>
  <r>
    <x v="1"/>
    <s v="North"/>
    <s v="Mobile"/>
    <s v="David"/>
    <n v="17"/>
    <n v="1215"/>
    <x v="2"/>
    <n v="20655"/>
    <n v="16423.440699999999"/>
    <n v="4231.5592989999996"/>
    <n v="0.20486852089082544"/>
  </r>
  <r>
    <x v="138"/>
    <s v="West"/>
    <s v="Laptop"/>
    <s v="Grace"/>
    <n v="16"/>
    <n v="1313"/>
    <x v="2"/>
    <n v="21008"/>
    <n v="18631.60614"/>
    <n v="2376.3938629999998"/>
    <n v="0.11311851975437927"/>
  </r>
  <r>
    <x v="68"/>
    <s v="North"/>
    <s v="Tablet"/>
    <s v="David"/>
    <n v="8"/>
    <n v="575"/>
    <x v="2"/>
    <n v="4600"/>
    <n v="3319.2543569999998"/>
    <n v="1280.745643"/>
    <n v="0.27842296586956522"/>
  </r>
  <r>
    <x v="111"/>
    <s v="West"/>
    <s v="Monitor"/>
    <s v="Charlie"/>
    <n v="19"/>
    <n v="1634"/>
    <x v="1"/>
    <n v="31046"/>
    <n v="25596.887180000002"/>
    <n v="5449.1128179999996"/>
    <n v="0.17551738768279326"/>
  </r>
  <r>
    <x v="164"/>
    <s v="South"/>
    <s v="Camera"/>
    <s v="Eva"/>
    <n v="8"/>
    <n v="1585"/>
    <x v="2"/>
    <n v="12680"/>
    <n v="11220.63666"/>
    <n v="1459.3633359999999"/>
    <n v="0.11509174574132491"/>
  </r>
  <r>
    <x v="165"/>
    <s v="East"/>
    <s v="Laptop"/>
    <s v="Frank"/>
    <n v="18"/>
    <n v="152"/>
    <x v="2"/>
    <n v="2736"/>
    <n v="2051.491552"/>
    <n v="684.50844810000001"/>
    <n v="0.25018583629385965"/>
  </r>
  <r>
    <x v="114"/>
    <s v="North"/>
    <s v="Camera"/>
    <s v="Alice"/>
    <n v="16"/>
    <n v="853"/>
    <x v="2"/>
    <n v="13648"/>
    <n v="9869.5386429999999"/>
    <n v="3778.4613570000001"/>
    <n v="0.27685092006154749"/>
  </r>
  <r>
    <x v="166"/>
    <s v="East"/>
    <s v="Printer"/>
    <s v="Hannah"/>
    <n v="19"/>
    <n v="585"/>
    <x v="1"/>
    <n v="11115"/>
    <n v="6929.1533520000003"/>
    <n v="4185.8466479999997"/>
    <n v="0.3765943902834008"/>
  </r>
  <r>
    <x v="167"/>
    <s v="West"/>
    <s v="Tablet"/>
    <s v="Hannah"/>
    <n v="10"/>
    <n v="1767"/>
    <x v="2"/>
    <n v="17670"/>
    <n v="15332.455330000001"/>
    <n v="2337.5446649999999"/>
    <n v="0.13228888879456704"/>
  </r>
  <r>
    <x v="133"/>
    <s v="East"/>
    <s v="Tablet"/>
    <s v="Hannah"/>
    <n v="17"/>
    <n v="1613"/>
    <x v="2"/>
    <n v="27421"/>
    <n v="18479.84232"/>
    <n v="8941.1576760000007"/>
    <n v="0.32606971576528943"/>
  </r>
  <r>
    <x v="168"/>
    <s v="West"/>
    <s v="Mobile"/>
    <s v="David"/>
    <n v="13"/>
    <n v="1487"/>
    <x v="2"/>
    <n v="19331"/>
    <n v="11969.51103"/>
    <n v="7361.488969"/>
    <n v="0.38081263095546014"/>
  </r>
  <r>
    <x v="74"/>
    <s v="West"/>
    <s v="Monitor"/>
    <s v="Hannah"/>
    <n v="13"/>
    <n v="1235"/>
    <x v="1"/>
    <n v="16055"/>
    <n v="12220.44059"/>
    <n v="3834.5594070000002"/>
    <n v="0.23883895403301153"/>
  </r>
  <r>
    <x v="12"/>
    <s v="South"/>
    <s v="Mobile"/>
    <s v="Grace"/>
    <n v="7"/>
    <n v="508"/>
    <x v="2"/>
    <n v="3556"/>
    <n v="3036.0057419999998"/>
    <n v="519.99425770000005"/>
    <n v="0.14623010621484817"/>
  </r>
  <r>
    <x v="84"/>
    <s v="West"/>
    <s v="Laptop"/>
    <s v="Hannah"/>
    <n v="10"/>
    <n v="1130"/>
    <x v="2"/>
    <n v="11300"/>
    <n v="8158.4928389999995"/>
    <n v="3141.507161"/>
    <n v="0.27800948327433628"/>
  </r>
  <r>
    <x v="169"/>
    <s v="South"/>
    <s v="Monitor"/>
    <s v="Charlie"/>
    <n v="2"/>
    <n v="1865"/>
    <x v="1"/>
    <n v="3730"/>
    <n v="3114.2524990000002"/>
    <n v="615.74750089999998"/>
    <n v="0.16507975895442359"/>
  </r>
  <r>
    <x v="170"/>
    <s v="South"/>
    <s v="Printer"/>
    <s v="Frank"/>
    <n v="4"/>
    <n v="767"/>
    <x v="1"/>
    <n v="3068"/>
    <n v="2610.6188849999999"/>
    <n v="457.3811149"/>
    <n v="0.14908119781616688"/>
  </r>
  <r>
    <x v="171"/>
    <s v="South"/>
    <s v="Camera"/>
    <s v="Hannah"/>
    <n v="6"/>
    <n v="1320"/>
    <x v="2"/>
    <n v="7920"/>
    <n v="5831.6628559999999"/>
    <n v="2088.3371440000001"/>
    <n v="0.26367893232323231"/>
  </r>
  <r>
    <x v="172"/>
    <s v="North"/>
    <s v="Printer"/>
    <s v="Hannah"/>
    <n v="18"/>
    <n v="934"/>
    <x v="1"/>
    <n v="16812"/>
    <n v="13067.740970000001"/>
    <n v="3744.2590289999998"/>
    <n v="0.22271348019271947"/>
  </r>
  <r>
    <x v="173"/>
    <s v="North"/>
    <s v="Tablet"/>
    <s v="Eva"/>
    <n v="6"/>
    <n v="975"/>
    <x v="2"/>
    <n v="5850"/>
    <n v="4447.0160839999999"/>
    <n v="1402.9839159999999"/>
    <n v="0.23982631042735042"/>
  </r>
  <r>
    <x v="68"/>
    <s v="West"/>
    <s v="Laptop"/>
    <s v="Frank"/>
    <n v="17"/>
    <n v="1858"/>
    <x v="2"/>
    <n v="31586"/>
    <n v="27851.23215"/>
    <n v="3734.7678540000002"/>
    <n v="0.11824124149939848"/>
  </r>
  <r>
    <x v="111"/>
    <s v="North"/>
    <s v="Laptop"/>
    <s v="David"/>
    <n v="11"/>
    <n v="1101"/>
    <x v="2"/>
    <n v="12111"/>
    <n v="10628.64803"/>
    <n v="1482.3519659999999"/>
    <n v="0.12239715679960367"/>
  </r>
  <r>
    <x v="174"/>
    <s v="South"/>
    <s v="Smartwatch"/>
    <s v="Bob"/>
    <n v="19"/>
    <n v="349"/>
    <x v="0"/>
    <n v="6631"/>
    <n v="4416.2658490000003"/>
    <n v="2214.7341510000001"/>
    <n v="0.33399700663549992"/>
  </r>
  <r>
    <x v="175"/>
    <s v="East"/>
    <s v="Laptop"/>
    <s v="Grace"/>
    <n v="2"/>
    <n v="1718"/>
    <x v="2"/>
    <n v="3436"/>
    <n v="2381.392147"/>
    <n v="1054.607853"/>
    <n v="0.30692894441210711"/>
  </r>
  <r>
    <x v="55"/>
    <s v="East"/>
    <s v="Printer"/>
    <s v="David"/>
    <n v="3"/>
    <n v="1363"/>
    <x v="1"/>
    <n v="4089"/>
    <n v="2540.3895579999999"/>
    <n v="1548.6104419999999"/>
    <n v="0.37872595793592562"/>
  </r>
  <r>
    <x v="67"/>
    <s v="East"/>
    <s v="Smartwatch"/>
    <s v="Alice"/>
    <n v="11"/>
    <n v="479"/>
    <x v="0"/>
    <n v="5269"/>
    <n v="3951.604507"/>
    <n v="1317.395493"/>
    <n v="0.25002761301954829"/>
  </r>
  <r>
    <x v="176"/>
    <s v="Unknown"/>
    <s v="Smartwatch"/>
    <s v="David"/>
    <n v="6"/>
    <n v="971"/>
    <x v="0"/>
    <n v="5826"/>
    <n v="5023.043807"/>
    <n v="802.95619320000003"/>
    <n v="0.13782289618949536"/>
  </r>
  <r>
    <x v="177"/>
    <s v="South"/>
    <s v="Monitor"/>
    <s v="Eva"/>
    <n v="14"/>
    <n v="934"/>
    <x v="1"/>
    <n v="13076"/>
    <n v="9127.7542240000002"/>
    <n v="3948.2457760000002"/>
    <n v="0.30194599082288165"/>
  </r>
  <r>
    <x v="178"/>
    <s v="East"/>
    <s v="Monitor"/>
    <s v="Eva"/>
    <n v="19"/>
    <n v="1594"/>
    <x v="1"/>
    <n v="30286"/>
    <n v="19337.145570000001"/>
    <n v="10948.854429999999"/>
    <n v="0.36151536782671861"/>
  </r>
  <r>
    <x v="123"/>
    <s v="North"/>
    <s v="Smartwatch"/>
    <s v="Hannah"/>
    <n v="16"/>
    <n v="874"/>
    <x v="0"/>
    <n v="13984"/>
    <n v="8677.5457289999995"/>
    <n v="5306.4542709999996"/>
    <n v="0.37946612349828374"/>
  </r>
  <r>
    <x v="83"/>
    <s v="East"/>
    <s v="Headphones"/>
    <s v="David"/>
    <n v="7"/>
    <n v="1018"/>
    <x v="0"/>
    <n v="7126"/>
    <n v="5232.2660830000004"/>
    <n v="1893.733917"/>
    <n v="0.26574991818692112"/>
  </r>
  <r>
    <x v="172"/>
    <s v="East"/>
    <s v="Laptop"/>
    <s v="Bob"/>
    <n v="19"/>
    <n v="554"/>
    <x v="2"/>
    <n v="10526"/>
    <n v="7408.5273020000004"/>
    <n v="3117.472698"/>
    <n v="0.29616879137374119"/>
  </r>
  <r>
    <x v="164"/>
    <s v="West"/>
    <s v="Printer"/>
    <s v="Frank"/>
    <n v="16"/>
    <n v="465"/>
    <x v="1"/>
    <n v="7440"/>
    <n v="6294.1949320000003"/>
    <n v="1145.8050679999999"/>
    <n v="0.15400605752688171"/>
  </r>
  <r>
    <x v="67"/>
    <s v="North"/>
    <s v="Laptop"/>
    <s v="David"/>
    <n v="7"/>
    <n v="1413"/>
    <x v="2"/>
    <n v="9891"/>
    <n v="7074.1837990000004"/>
    <n v="2816.8162010000001"/>
    <n v="0.28478578515822467"/>
  </r>
  <r>
    <x v="72"/>
    <s v="South"/>
    <s v="Headphones"/>
    <s v="Grace"/>
    <n v="9"/>
    <n v="1997"/>
    <x v="0"/>
    <n v="17973"/>
    <n v="14072.163"/>
    <n v="3900.836996"/>
    <n v="0.21703872453124132"/>
  </r>
  <r>
    <x v="13"/>
    <s v="North"/>
    <s v="Tablet"/>
    <s v="Bob"/>
    <n v="13"/>
    <n v="502"/>
    <x v="2"/>
    <n v="6526"/>
    <n v="4898.7289570000003"/>
    <n v="1627.271043"/>
    <n v="0.24935198329757891"/>
  </r>
  <r>
    <x v="143"/>
    <s v="South"/>
    <s v="tabllet"/>
    <s v="Hannah"/>
    <n v="1"/>
    <n v="157"/>
    <x v="2"/>
    <n v="157"/>
    <n v="128.04291810000001"/>
    <n v="28.957081899999999"/>
    <n v="0.18444001210191083"/>
  </r>
  <r>
    <x v="56"/>
    <s v="West"/>
    <s v="Printer"/>
    <s v="Frank"/>
    <n v="8"/>
    <n v="620"/>
    <x v="1"/>
    <n v="4960"/>
    <n v="3208.3734589999999"/>
    <n v="1751.6265410000001"/>
    <n v="0.35315051229838712"/>
  </r>
  <r>
    <x v="21"/>
    <s v="West"/>
    <s v="Printer"/>
    <s v="Hannah"/>
    <n v="3"/>
    <n v="1238"/>
    <x v="1"/>
    <n v="3714"/>
    <n v="2945.5356630000001"/>
    <n v="768.464337"/>
    <n v="0.20691016074313409"/>
  </r>
  <r>
    <x v="136"/>
    <s v="West"/>
    <s v="Laptop"/>
    <s v="Grace"/>
    <n v="3"/>
    <n v="309"/>
    <x v="2"/>
    <n v="927"/>
    <n v="631.55223279999996"/>
    <n v="295.44776719999999"/>
    <n v="0.31871388047464938"/>
  </r>
  <r>
    <x v="179"/>
    <s v="South"/>
    <s v="Mobile"/>
    <s v="Hannah"/>
    <n v="13"/>
    <n v="1164"/>
    <x v="2"/>
    <n v="15132"/>
    <n v="9638.7225330000001"/>
    <n v="5493.2774669999999"/>
    <n v="0.36302388758921489"/>
  </r>
  <r>
    <x v="146"/>
    <s v="East"/>
    <s v="Camera"/>
    <s v="Grace"/>
    <n v="8"/>
    <n v="915"/>
    <x v="2"/>
    <n v="7320"/>
    <n v="4720.7973389999997"/>
    <n v="2599.2026609999998"/>
    <n v="0.3550823307377049"/>
  </r>
  <r>
    <x v="180"/>
    <s v="South"/>
    <s v="Camera"/>
    <s v="Frank"/>
    <n v="7"/>
    <n v="272"/>
    <x v="2"/>
    <n v="1904"/>
    <n v="1589.4570639999999"/>
    <n v="314.54293619999999"/>
    <n v="0.1652011219537815"/>
  </r>
  <r>
    <x v="48"/>
    <s v="North"/>
    <s v="Monitor"/>
    <s v="Bob"/>
    <n v="1"/>
    <n v="333"/>
    <x v="1"/>
    <n v="333"/>
    <n v="258.5521943"/>
    <n v="74.447805669999994"/>
    <n v="0.22356698399399397"/>
  </r>
  <r>
    <x v="103"/>
    <s v="West"/>
    <s v="Camera"/>
    <s v="Grace"/>
    <n v="6"/>
    <n v="1713"/>
    <x v="2"/>
    <n v="10278"/>
    <n v="7193.2664690000001"/>
    <n v="3084.7335309999999"/>
    <n v="0.30012974615683985"/>
  </r>
  <r>
    <x v="174"/>
    <s v="North"/>
    <s v="Printer"/>
    <s v="Charlie"/>
    <n v="7"/>
    <n v="1743"/>
    <x v="1"/>
    <n v="12201"/>
    <n v="10452.93102"/>
    <n v="1748.068976"/>
    <n v="0.14327259863945579"/>
  </r>
  <r>
    <x v="172"/>
    <s v="South"/>
    <s v="Camera"/>
    <s v="David"/>
    <n v="12"/>
    <n v="892"/>
    <x v="2"/>
    <n v="10704"/>
    <n v="9231.4374160000007"/>
    <n v="1472.562584"/>
    <n v="0.13757124289985054"/>
  </r>
  <r>
    <x v="181"/>
    <s v="East"/>
    <s v="Tablet"/>
    <s v="Frank"/>
    <n v="9"/>
    <n v="1526"/>
    <x v="2"/>
    <n v="13734"/>
    <n v="10635.315850000001"/>
    <n v="3098.6841490000002"/>
    <n v="0.2256213884520169"/>
  </r>
  <r>
    <x v="1"/>
    <s v="East"/>
    <s v="Tablet"/>
    <s v="Hannah"/>
    <n v="11"/>
    <n v="1162"/>
    <x v="2"/>
    <n v="12782"/>
    <n v="9680.6166740000008"/>
    <n v="3101.3833260000001"/>
    <n v="0.24263678031606947"/>
  </r>
  <r>
    <x v="182"/>
    <s v="North"/>
    <s v="Monitor"/>
    <s v="Frank"/>
    <n v="10"/>
    <n v="218"/>
    <x v="1"/>
    <n v="2180"/>
    <n v="1841.9570200000001"/>
    <n v="338.0429805"/>
    <n v="0.15506558738532111"/>
  </r>
  <r>
    <x v="74"/>
    <s v="East"/>
    <s v="Tablet"/>
    <s v="Eva"/>
    <n v="1"/>
    <n v="434"/>
    <x v="2"/>
    <n v="434"/>
    <n v="357.96344040000002"/>
    <n v="76.036559589999996"/>
    <n v="0.17519944605990784"/>
  </r>
  <r>
    <x v="183"/>
    <s v="South"/>
    <s v="Camera"/>
    <s v="Hannah"/>
    <n v="18"/>
    <n v="1459"/>
    <x v="2"/>
    <n v="26262"/>
    <n v="18911.201990000001"/>
    <n v="7350.7980109999999"/>
    <n v="0.2799024450156119"/>
  </r>
  <r>
    <x v="59"/>
    <s v="South"/>
    <s v="Headphones"/>
    <s v="Frank"/>
    <n v="4"/>
    <n v="1662"/>
    <x v="0"/>
    <n v="6648"/>
    <n v="4153.8140329999997"/>
    <n v="2494.1859669999999"/>
    <n v="0.37517839455475327"/>
  </r>
  <r>
    <x v="72"/>
    <s v="South"/>
    <s v="Smartwatch"/>
    <s v="Hannah"/>
    <n v="9"/>
    <n v="1197"/>
    <x v="0"/>
    <n v="10773"/>
    <n v="7009.0248549999997"/>
    <n v="3763.9751449999999"/>
    <n v="0.34938969135802467"/>
  </r>
  <r>
    <x v="184"/>
    <s v="West"/>
    <s v="Monitor"/>
    <s v="Hannah"/>
    <n v="17"/>
    <n v="1314"/>
    <x v="1"/>
    <n v="22338"/>
    <n v="13512.548199999999"/>
    <n v="8825.4517990000004"/>
    <n v="0.39508692805980844"/>
  </r>
  <r>
    <x v="21"/>
    <s v="North"/>
    <s v="Mobile"/>
    <s v="Frank"/>
    <n v="3"/>
    <n v="423"/>
    <x v="2"/>
    <n v="1269"/>
    <n v="1082.445328"/>
    <n v="186.55467150000001"/>
    <n v="0.1470091973995272"/>
  </r>
  <r>
    <x v="185"/>
    <s v="South"/>
    <s v="Smartwatch"/>
    <s v="Hannah"/>
    <n v="16"/>
    <n v="1110"/>
    <x v="0"/>
    <n v="17760"/>
    <n v="13736.93649"/>
    <n v="4023.0635120000002"/>
    <n v="0.22652384639639642"/>
  </r>
  <r>
    <x v="89"/>
    <s v="North"/>
    <s v="Smartwatch"/>
    <s v="Charlie"/>
    <n v="5"/>
    <n v="1270"/>
    <x v="0"/>
    <n v="6350"/>
    <n v="5508.6237979999996"/>
    <n v="841.37620230000005"/>
    <n v="0.13250018933858268"/>
  </r>
  <r>
    <x v="20"/>
    <s v="East"/>
    <s v="Tablet"/>
    <s v="David"/>
    <n v="16"/>
    <n v="1890"/>
    <x v="2"/>
    <n v="30240"/>
    <n v="22540.183089999999"/>
    <n v="7699.8169090000001"/>
    <n v="0.25462357503306876"/>
  </r>
  <r>
    <x v="67"/>
    <s v="South"/>
    <s v="Tablet"/>
    <s v="Hannah"/>
    <n v="3"/>
    <n v="383"/>
    <x v="2"/>
    <n v="1149"/>
    <n v="1008.7580349999999"/>
    <n v="140.24196459999999"/>
    <n v="0.12205566979982592"/>
  </r>
  <r>
    <x v="38"/>
    <s v="West"/>
    <s v="Camera"/>
    <s v="David"/>
    <n v="15"/>
    <n v="312"/>
    <x v="2"/>
    <n v="4680"/>
    <n v="3304.976334"/>
    <n v="1375.023666"/>
    <n v="0.29380847564102563"/>
  </r>
  <r>
    <x v="186"/>
    <s v="South"/>
    <s v="Monitor"/>
    <s v="Frank"/>
    <n v="3"/>
    <n v="1758"/>
    <x v="1"/>
    <n v="5274"/>
    <n v="4310.7387120000003"/>
    <n v="963.26128789999996"/>
    <n v="0.1826433992984452"/>
  </r>
  <r>
    <x v="133"/>
    <s v="North"/>
    <s v="Mobile"/>
    <s v="Grace"/>
    <n v="14"/>
    <n v="1841"/>
    <x v="2"/>
    <n v="25774"/>
    <n v="17791.687890000001"/>
    <n v="7982.312113"/>
    <n v="0.30970404721812678"/>
  </r>
  <r>
    <x v="96"/>
    <s v="North"/>
    <s v="Monitor"/>
    <s v="Alice"/>
    <n v="16"/>
    <n v="1028"/>
    <x v="1"/>
    <n v="16448"/>
    <n v="9874.5419849999998"/>
    <n v="6573.4580150000002"/>
    <n v="0.39965090071741244"/>
  </r>
  <r>
    <x v="187"/>
    <s v="South"/>
    <s v="Laptop"/>
    <s v="Alice"/>
    <n v="17"/>
    <n v="851"/>
    <x v="2"/>
    <n v="14467"/>
    <n v="10328.329250000001"/>
    <n v="4138.6707459999998"/>
    <n v="0.28607663966268054"/>
  </r>
  <r>
    <x v="23"/>
    <s v="West"/>
    <s v="Printer"/>
    <s v="Grace"/>
    <n v="18"/>
    <n v="1517"/>
    <x v="1"/>
    <n v="27306"/>
    <n v="22427.22753"/>
    <n v="4878.7724699999999"/>
    <n v="0.17867034607778509"/>
  </r>
  <r>
    <x v="188"/>
    <s v="West"/>
    <s v="Mobile"/>
    <s v="Grace"/>
    <n v="18"/>
    <n v="438"/>
    <x v="2"/>
    <n v="7884"/>
    <n v="5085.2371890000004"/>
    <n v="2798.7628110000001"/>
    <n v="0.35499274619482496"/>
  </r>
  <r>
    <x v="189"/>
    <s v="West"/>
    <s v="Mobile"/>
    <s v="Grace"/>
    <n v="14"/>
    <n v="1921"/>
    <x v="2"/>
    <n v="26894"/>
    <n v="20209.243760000001"/>
    <n v="6684.7562360000002"/>
    <n v="0.24855939004982525"/>
  </r>
  <r>
    <x v="190"/>
    <s v="North"/>
    <s v="Headphones"/>
    <s v="Bob"/>
    <n v="18"/>
    <n v="1145"/>
    <x v="0"/>
    <n v="20610"/>
    <n v="13678.783740000001"/>
    <n v="6931.2162589999998"/>
    <n v="0.33630355453663269"/>
  </r>
  <r>
    <x v="191"/>
    <s v="East"/>
    <s v="MOBLIE"/>
    <s v="Grace"/>
    <n v="15"/>
    <n v="1992"/>
    <x v="2"/>
    <n v="29880"/>
    <n v="23462.83957"/>
    <n v="6417.1604340000004"/>
    <n v="0.21476440542168676"/>
  </r>
  <r>
    <x v="32"/>
    <s v="North"/>
    <s v="Headphones"/>
    <s v="Bob"/>
    <n v="6"/>
    <n v="204"/>
    <x v="0"/>
    <n v="1224"/>
    <n v="1083.9625109999999"/>
    <n v="140.03748909999999"/>
    <n v="0.11440971331699346"/>
  </r>
  <r>
    <x v="50"/>
    <s v="West"/>
    <s v="Mobile"/>
    <s v="Eva"/>
    <n v="15"/>
    <n v="1589"/>
    <x v="2"/>
    <n v="23835"/>
    <n v="16522.69052"/>
    <n v="7312.3094840000003"/>
    <n v="0.30678873438221105"/>
  </r>
  <r>
    <x v="109"/>
    <s v="South"/>
    <s v="Mobile"/>
    <s v="Hannah"/>
    <n v="18"/>
    <n v="1582"/>
    <x v="2"/>
    <n v="28476"/>
    <n v="22045.94094"/>
    <n v="6430.0590570000004"/>
    <n v="0.22580625990307629"/>
  </r>
  <r>
    <x v="192"/>
    <s v="West"/>
    <s v="Mobile"/>
    <s v="Bob"/>
    <n v="4"/>
    <n v="1555"/>
    <x v="2"/>
    <n v="6220"/>
    <n v="5511.4238839999998"/>
    <n v="708.57611580000003"/>
    <n v="0.11391898967845659"/>
  </r>
  <r>
    <x v="193"/>
    <s v="East"/>
    <s v="Smartwatch"/>
    <s v="Alice"/>
    <n v="8"/>
    <n v="869"/>
    <x v="0"/>
    <n v="6952"/>
    <n v="5527.8480749999999"/>
    <n v="1424.1519249999999"/>
    <n v="0.20485499496547754"/>
  </r>
  <r>
    <x v="20"/>
    <s v="West"/>
    <s v="Monitor"/>
    <s v="Frank"/>
    <n v="15"/>
    <n v="815"/>
    <x v="1"/>
    <n v="12225"/>
    <n v="9803.6430359999995"/>
    <n v="2421.3569640000001"/>
    <n v="0.19806600932515339"/>
  </r>
  <r>
    <x v="132"/>
    <s v="West"/>
    <s v="Printer"/>
    <s v="Eva"/>
    <n v="3"/>
    <n v="1945"/>
    <x v="1"/>
    <n v="5835"/>
    <n v="3814.2143590000001"/>
    <n v="2020.7856409999999"/>
    <n v="0.34632144661525277"/>
  </r>
  <r>
    <x v="161"/>
    <s v="East"/>
    <s v="Printer"/>
    <s v="Alice"/>
    <n v="15"/>
    <n v="1897"/>
    <x v="1"/>
    <n v="28455"/>
    <n v="21278.162520000002"/>
    <n v="7176.8374759999997"/>
    <n v="0.2522170963275347"/>
  </r>
  <r>
    <x v="127"/>
    <s v="South"/>
    <s v="Headphones"/>
    <s v="Hannah"/>
    <n v="13"/>
    <n v="1742"/>
    <x v="0"/>
    <n v="22646"/>
    <n v="16081.48677"/>
    <n v="6564.5132329999997"/>
    <n v="0.28987517588095024"/>
  </r>
  <r>
    <x v="194"/>
    <s v="North"/>
    <s v="Mobile"/>
    <s v="Bob"/>
    <n v="9"/>
    <n v="862"/>
    <x v="2"/>
    <n v="7758"/>
    <n v="5750.9049779999996"/>
    <n v="2007.095022"/>
    <n v="0.25871294431554526"/>
  </r>
  <r>
    <x v="67"/>
    <s v="South"/>
    <s v="Unknown"/>
    <s v="Charlie"/>
    <n v="2"/>
    <n v="1344"/>
    <x v="1"/>
    <n v="2688"/>
    <n v="2258.5865509999999"/>
    <n v="429.41344880000003"/>
    <n v="0.15975202708333333"/>
  </r>
  <r>
    <x v="164"/>
    <s v="East"/>
    <s v="Tablet"/>
    <s v="unknown"/>
    <n v="8"/>
    <n v="478"/>
    <x v="2"/>
    <n v="3824"/>
    <n v="2822.9138790000002"/>
    <n v="1001.086121"/>
    <n v="0.26179030360878663"/>
  </r>
  <r>
    <x v="195"/>
    <s v="West"/>
    <s v="Monitor"/>
    <s v="Hannah"/>
    <n v="17"/>
    <n v="1345"/>
    <x v="1"/>
    <n v="22865"/>
    <n v="14150.124229999999"/>
    <n v="8714.8757719999994"/>
    <n v="0.3811447965012027"/>
  </r>
  <r>
    <x v="51"/>
    <s v="South"/>
    <s v="Printer"/>
    <s v="Alice"/>
    <n v="13"/>
    <n v="1381"/>
    <x v="1"/>
    <n v="17953"/>
    <n v="15648.956829999999"/>
    <n v="2304.0431669999998"/>
    <n v="0.12833750164317939"/>
  </r>
  <r>
    <x v="19"/>
    <s v="North"/>
    <s v="Camera"/>
    <s v="Grace"/>
    <n v="1"/>
    <n v="812"/>
    <x v="2"/>
    <n v="812"/>
    <n v="619.91715020000004"/>
    <n v="192.08284979999999"/>
    <n v="0.23655523374384235"/>
  </r>
  <r>
    <x v="27"/>
    <s v="East"/>
    <s v="Monitor"/>
    <s v="Bob"/>
    <n v="2"/>
    <n v="1490"/>
    <x v="1"/>
    <n v="2980"/>
    <n v="2614.497957"/>
    <n v="365.50204350000001"/>
    <n v="0.12265169244966444"/>
  </r>
  <r>
    <x v="196"/>
    <s v="South"/>
    <s v="Camera"/>
    <s v="Grace"/>
    <n v="15"/>
    <n v="1893"/>
    <x v="2"/>
    <n v="28395"/>
    <n v="21912.601910000001"/>
    <n v="6482.3980890000003"/>
    <n v="0.22829364638140517"/>
  </r>
  <r>
    <x v="101"/>
    <s v="North"/>
    <s v="Printer"/>
    <s v="Grace"/>
    <n v="12"/>
    <n v="1472"/>
    <x v="1"/>
    <n v="17664"/>
    <n v="10967.41677"/>
    <n v="6696.5832339999997"/>
    <n v="0.37910910518568841"/>
  </r>
  <r>
    <x v="148"/>
    <s v="East"/>
    <s v="Tablet"/>
    <s v="Grace"/>
    <n v="14"/>
    <n v="324"/>
    <x v="2"/>
    <n v="4536"/>
    <n v="3473.9446710000002"/>
    <n v="1062.055329"/>
    <n v="0.23413918187830687"/>
  </r>
  <r>
    <x v="189"/>
    <s v="North"/>
    <s v="Camera"/>
    <s v="Grace"/>
    <n v="2"/>
    <n v="1837"/>
    <x v="2"/>
    <n v="3674"/>
    <n v="2838.9794510000002"/>
    <n v="835.02054859999998"/>
    <n v="0.22727832025040828"/>
  </r>
  <r>
    <x v="197"/>
    <s v="East"/>
    <s v="Smartwatch"/>
    <s v="Grace"/>
    <n v="18"/>
    <n v="837"/>
    <x v="0"/>
    <n v="15066"/>
    <n v="10008.373390000001"/>
    <n v="5057.6266130000004"/>
    <n v="0.33569803617416705"/>
  </r>
  <r>
    <x v="198"/>
    <s v="West"/>
    <s v="Printer"/>
    <s v="Eva"/>
    <n v="7"/>
    <n v="335"/>
    <x v="1"/>
    <n v="2345"/>
    <n v="1738.3689609999999"/>
    <n v="606.6310393"/>
    <n v="0.25869127475479742"/>
  </r>
  <r>
    <x v="172"/>
    <s v="South"/>
    <s v="Smartwatch"/>
    <s v="Alice"/>
    <n v="6"/>
    <n v="282"/>
    <x v="0"/>
    <n v="1692"/>
    <n v="1248.412511"/>
    <n v="443.58748859999997"/>
    <n v="0.26216754645390067"/>
  </r>
  <r>
    <x v="137"/>
    <s v="North"/>
    <s v="Printer"/>
    <s v="Hannah"/>
    <n v="14"/>
    <n v="811"/>
    <x v="1"/>
    <n v="11354"/>
    <n v="8934.040739"/>
    <n v="2419.959261"/>
    <n v="0.21313715527567376"/>
  </r>
  <r>
    <x v="178"/>
    <s v="East"/>
    <s v="Laptop"/>
    <s v="Alice"/>
    <n v="8"/>
    <n v="1992"/>
    <x v="2"/>
    <n v="15936"/>
    <n v="10802.763080000001"/>
    <n v="5133.2369170000002"/>
    <n v="0.3221157703940763"/>
  </r>
  <r>
    <x v="75"/>
    <s v="North"/>
    <s v="Laptop"/>
    <s v="Hannah"/>
    <n v="2"/>
    <n v="1881"/>
    <x v="2"/>
    <n v="3762"/>
    <n v="2913.7612640000002"/>
    <n v="848.23873549999996"/>
    <n v="0.22547547461456671"/>
  </r>
  <r>
    <x v="1"/>
    <s v="Unknown"/>
    <s v="Laptop"/>
    <s v="David"/>
    <n v="17"/>
    <n v="543"/>
    <x v="2"/>
    <n v="9231"/>
    <n v="6205.8684919999996"/>
    <n v="3025.1315079999999"/>
    <n v="0.32771438717365398"/>
  </r>
  <r>
    <x v="199"/>
    <s v="South"/>
    <s v="Camera"/>
    <s v="Bob"/>
    <n v="5"/>
    <n v="1988"/>
    <x v="2"/>
    <n v="9940"/>
    <n v="7295.2998020000005"/>
    <n v="2644.700198"/>
    <n v="0.26606641830985917"/>
  </r>
  <r>
    <x v="200"/>
    <s v="West"/>
    <s v="Smartwatch"/>
    <s v="Charlie"/>
    <n v="14"/>
    <n v="722"/>
    <x v="0"/>
    <n v="10108"/>
    <n v="6436.8927629999998"/>
    <n v="3671.1072370000002"/>
    <n v="0.36318829016620502"/>
  </r>
  <r>
    <x v="201"/>
    <s v="North"/>
    <s v="Smartwatch"/>
    <s v="Eva"/>
    <n v="3"/>
    <n v="1129"/>
    <x v="0"/>
    <n v="3387"/>
    <n v="2070.101087"/>
    <n v="1316.898913"/>
    <n v="0.38880983554768234"/>
  </r>
  <r>
    <x v="172"/>
    <s v="Unknown"/>
    <s v="Smartwatch"/>
    <s v="Bob"/>
    <n v="5"/>
    <n v="1359"/>
    <x v="0"/>
    <n v="6795"/>
    <n v="4730.5172229999998"/>
    <n v="2064.4827770000002"/>
    <n v="0.30382380824135397"/>
  </r>
  <r>
    <x v="30"/>
    <s v="East"/>
    <s v="Tablet"/>
    <s v="Eva"/>
    <n v="16"/>
    <n v="1250"/>
    <x v="2"/>
    <n v="20000"/>
    <n v="13647.4305"/>
    <n v="6352.5694960000001"/>
    <n v="0.3176284748"/>
  </r>
  <r>
    <x v="136"/>
    <s v="West"/>
    <s v="Smartwatch"/>
    <s v="Hannah"/>
    <n v="18"/>
    <n v="1227"/>
    <x v="0"/>
    <n v="22086"/>
    <n v="15947.875969999999"/>
    <n v="6138.1240340000004"/>
    <n v="0.27791922638775696"/>
  </r>
  <r>
    <x v="60"/>
    <s v="East"/>
    <s v="Tablet"/>
    <s v="Alice"/>
    <n v="17"/>
    <n v="848"/>
    <x v="2"/>
    <n v="14416"/>
    <n v="12809.98243"/>
    <n v="1606.0175650000001"/>
    <n v="0.1114052139983352"/>
  </r>
  <r>
    <x v="24"/>
    <s v="West"/>
    <s v="Laptop"/>
    <s v="Grace"/>
    <n v="11"/>
    <n v="1603"/>
    <x v="2"/>
    <n v="17633"/>
    <n v="13342.340749999999"/>
    <n v="4290.6592540000001"/>
    <n v="0.24333121159190155"/>
  </r>
  <r>
    <x v="21"/>
    <s v="East"/>
    <s v="Laptop"/>
    <s v="David"/>
    <n v="17"/>
    <n v="254"/>
    <x v="2"/>
    <n v="4318"/>
    <n v="3307.3851049999998"/>
    <n v="1010.614895"/>
    <n v="0.2340469881889764"/>
  </r>
  <r>
    <x v="202"/>
    <s v="South"/>
    <s v="Camera"/>
    <s v="David"/>
    <n v="16"/>
    <n v="356"/>
    <x v="2"/>
    <n v="5696"/>
    <n v="5026.6078550000002"/>
    <n v="669.39214489999995"/>
    <n v="0.1175196883602528"/>
  </r>
  <r>
    <x v="203"/>
    <s v="Unknown"/>
    <s v="Printer"/>
    <s v="unknown"/>
    <n v="2"/>
    <n v="334"/>
    <x v="1"/>
    <n v="668"/>
    <n v="585.39788639999995"/>
    <n v="82.602113630000005"/>
    <n v="0.12365585872754492"/>
  </r>
  <r>
    <x v="133"/>
    <s v="South"/>
    <s v="Laptop"/>
    <s v="Charlie"/>
    <n v="4"/>
    <n v="599"/>
    <x v="2"/>
    <n v="2396"/>
    <n v="2073.0996719999998"/>
    <n v="322.9003275"/>
    <n v="0.13476641381469115"/>
  </r>
  <r>
    <x v="204"/>
    <s v="North"/>
    <s v="Printer"/>
    <s v="David"/>
    <n v="7"/>
    <n v="388"/>
    <x v="1"/>
    <n v="2716"/>
    <n v="1709.4461160000001"/>
    <n v="1006.553884"/>
    <n v="0.37060157731958765"/>
  </r>
  <r>
    <x v="205"/>
    <s v="North"/>
    <s v="Printer"/>
    <s v="Grace"/>
    <n v="2"/>
    <n v="609"/>
    <x v="1"/>
    <n v="1218"/>
    <n v="962.57227379999995"/>
    <n v="255.4277262"/>
    <n v="0.20971077684729064"/>
  </r>
  <r>
    <x v="206"/>
    <s v="North"/>
    <s v="Monitor"/>
    <s v="Alice"/>
    <n v="6"/>
    <n v="1675"/>
    <x v="1"/>
    <n v="10050"/>
    <n v="8466.4184260000002"/>
    <n v="1583.581574"/>
    <n v="0.15757030587064677"/>
  </r>
  <r>
    <x v="56"/>
    <s v="South"/>
    <s v="Camera"/>
    <s v="Charlie"/>
    <n v="17"/>
    <n v="1923"/>
    <x v="2"/>
    <n v="32691"/>
    <n v="27809.33165"/>
    <n v="4881.6683469999998"/>
    <n v="0.14932759312960753"/>
  </r>
  <r>
    <x v="207"/>
    <s v="North"/>
    <s v="Mobile"/>
    <s v="Hannah"/>
    <n v="7"/>
    <n v="808"/>
    <x v="2"/>
    <n v="5656"/>
    <n v="4374.1928390000003"/>
    <n v="1281.807161"/>
    <n v="0.22662785731966054"/>
  </r>
  <r>
    <x v="203"/>
    <s v="South"/>
    <s v="Mobile"/>
    <s v="Bob"/>
    <n v="5"/>
    <n v="884"/>
    <x v="2"/>
    <n v="4420"/>
    <n v="2675.1990959999998"/>
    <n v="1744.8009039999999"/>
    <n v="0.39475133574660631"/>
  </r>
  <r>
    <x v="12"/>
    <s v="West"/>
    <s v="Headphones"/>
    <s v="Hannah"/>
    <n v="5"/>
    <n v="993"/>
    <x v="0"/>
    <n v="4965"/>
    <n v="4429.3453669999999"/>
    <n v="535.65463299999999"/>
    <n v="0.10788612950654582"/>
  </r>
  <r>
    <x v="208"/>
    <s v="East"/>
    <s v="Monitor"/>
    <s v="Grace"/>
    <n v="16"/>
    <n v="875"/>
    <x v="1"/>
    <n v="14000"/>
    <n v="10383.22615"/>
    <n v="3616.7738479999998"/>
    <n v="0.25834098914285714"/>
  </r>
  <r>
    <x v="75"/>
    <s v="East"/>
    <s v="Camera"/>
    <s v="Grace"/>
    <n v="19"/>
    <n v="1692"/>
    <x v="2"/>
    <n v="32148"/>
    <n v="23084.796249999999"/>
    <n v="9063.2037479999999"/>
    <n v="0.28192123142963793"/>
  </r>
  <r>
    <x v="209"/>
    <s v="South"/>
    <s v="Unknown"/>
    <s v="Charlie"/>
    <n v="5"/>
    <n v="1733"/>
    <x v="0"/>
    <n v="8665"/>
    <n v="6301.5802130000002"/>
    <n v="2363.4197869999998"/>
    <n v="0.27275473594922101"/>
  </r>
  <r>
    <x v="210"/>
    <s v="East"/>
    <s v="Monitor"/>
    <s v="Alice"/>
    <n v="8"/>
    <n v="236"/>
    <x v="1"/>
    <n v="1888"/>
    <n v="1269.9711589999999"/>
    <n v="618.02884119999999"/>
    <n v="0.32734578453389829"/>
  </r>
  <r>
    <x v="170"/>
    <s v="South"/>
    <s v="Mobile"/>
    <s v="Hannah"/>
    <n v="9"/>
    <n v="475"/>
    <x v="2"/>
    <n v="4275"/>
    <n v="2984.8053749999999"/>
    <n v="1290.1946250000001"/>
    <n v="0.3017999122807018"/>
  </r>
  <r>
    <x v="211"/>
    <s v="South"/>
    <s v="Camera"/>
    <s v="Frank"/>
    <n v="5"/>
    <n v="186"/>
    <x v="2"/>
    <n v="930"/>
    <n v="832.91477310000005"/>
    <n v="97.08522687"/>
    <n v="0.10439271706451612"/>
  </r>
  <r>
    <x v="212"/>
    <s v="North"/>
    <s v="Mobile"/>
    <s v="Hannah"/>
    <n v="10"/>
    <n v="1542"/>
    <x v="2"/>
    <n v="15420"/>
    <n v="10955.14517"/>
    <n v="4464.8548309999996"/>
    <n v="0.28954959993514912"/>
  </r>
  <r>
    <x v="213"/>
    <s v="East"/>
    <s v="Headphones"/>
    <s v="Eva"/>
    <n v="2"/>
    <n v="1877"/>
    <x v="0"/>
    <n v="3754"/>
    <n v="2845.597714"/>
    <n v="908.40228639999998"/>
    <n v="0.24198249504528502"/>
  </r>
  <r>
    <x v="180"/>
    <s v="North"/>
    <s v="Camera"/>
    <s v="Eva"/>
    <n v="9"/>
    <n v="1322"/>
    <x v="2"/>
    <n v="11898"/>
    <n v="10166.70155"/>
    <n v="1731.2984469999999"/>
    <n v="0.14551172020507647"/>
  </r>
  <r>
    <x v="214"/>
    <s v="North"/>
    <s v="Headphones"/>
    <s v="Alice"/>
    <n v="11"/>
    <n v="1586"/>
    <x v="0"/>
    <n v="17446"/>
    <n v="13228.05168"/>
    <n v="4217.9483220000002"/>
    <n v="0.24177165665482059"/>
  </r>
  <r>
    <x v="215"/>
    <s v="East"/>
    <s v="Smartwatch"/>
    <s v="Alice"/>
    <n v="4"/>
    <n v="536"/>
    <x v="0"/>
    <n v="2144"/>
    <n v="1495.0884410000001"/>
    <n v="648.91155920000006"/>
    <n v="0.30266397350746271"/>
  </r>
  <r>
    <x v="187"/>
    <s v="East"/>
    <s v="Monitor"/>
    <s v="Eva"/>
    <n v="2"/>
    <n v="1433"/>
    <x v="1"/>
    <n v="2866"/>
    <n v="2169.9210899999998"/>
    <n v="696.07890999999995"/>
    <n v="0.24287470690858337"/>
  </r>
  <r>
    <x v="168"/>
    <s v="West"/>
    <s v="Printer"/>
    <s v="Frank"/>
    <n v="6"/>
    <n v="1719"/>
    <x v="1"/>
    <n v="10314"/>
    <n v="6541.4058619999996"/>
    <n v="3772.5941379999999"/>
    <n v="0.36577410684506495"/>
  </r>
  <r>
    <x v="29"/>
    <s v="West"/>
    <s v="Camera"/>
    <s v="Charlie"/>
    <n v="14"/>
    <n v="1877"/>
    <x v="2"/>
    <n v="26278"/>
    <n v="16791.696830000001"/>
    <n v="9486.3031690000007"/>
    <n v="0.36099791342567933"/>
  </r>
  <r>
    <x v="152"/>
    <s v="South"/>
    <s v="Camera"/>
    <s v="Eva"/>
    <n v="1"/>
    <n v="1404"/>
    <x v="2"/>
    <n v="1404"/>
    <n v="1134.7580929999999"/>
    <n v="269.2419074"/>
    <n v="0.19176774031339031"/>
  </r>
  <r>
    <x v="216"/>
    <s v="East"/>
    <s v="Printer"/>
    <s v="Alice"/>
    <n v="18"/>
    <n v="1446"/>
    <x v="1"/>
    <n v="26028"/>
    <n v="22780.699799999999"/>
    <n v="3247.3002040000001"/>
    <n v="0.12476180282772399"/>
  </r>
  <r>
    <x v="217"/>
    <s v="West"/>
    <s v="Headphones"/>
    <s v="David"/>
    <n v="7"/>
    <n v="863"/>
    <x v="0"/>
    <n v="6041"/>
    <n v="4939.7464810000001"/>
    <n v="1101.2535190000001"/>
    <n v="0.18229656000662145"/>
  </r>
  <r>
    <x v="218"/>
    <s v="South"/>
    <s v="Smartwatch"/>
    <s v="Bob"/>
    <n v="1"/>
    <n v="801"/>
    <x v="0"/>
    <n v="801"/>
    <n v="498.52956169999999"/>
    <n v="302.47043830000001"/>
    <n v="0.37761602784019976"/>
  </r>
  <r>
    <x v="122"/>
    <s v="South"/>
    <s v="Tablet"/>
    <s v="Frank"/>
    <n v="1"/>
    <n v="1041"/>
    <x v="2"/>
    <n v="1041"/>
    <n v="750.42429930000003"/>
    <n v="290.57570070000003"/>
    <n v="0.27913131671469743"/>
  </r>
  <r>
    <x v="43"/>
    <s v="South"/>
    <s v="Printer"/>
    <s v="Grace"/>
    <n v="1"/>
    <n v="251"/>
    <x v="1"/>
    <n v="251"/>
    <n v="150.79228520000001"/>
    <n v="100.20771480000001"/>
    <n v="0.39923392350597614"/>
  </r>
  <r>
    <x v="219"/>
    <s v="West"/>
    <s v="Monitor"/>
    <s v="Frank"/>
    <n v="4"/>
    <n v="1425"/>
    <x v="1"/>
    <n v="5700"/>
    <n v="4294.1635310000001"/>
    <n v="1405.8364690000001"/>
    <n v="0.24663797701754386"/>
  </r>
  <r>
    <x v="121"/>
    <s v="East"/>
    <s v="Mobile"/>
    <s v="David"/>
    <n v="4"/>
    <n v="1401"/>
    <x v="2"/>
    <n v="5604"/>
    <n v="3687.2153800000001"/>
    <n v="1916.7846199999999"/>
    <n v="0.34203865453247678"/>
  </r>
  <r>
    <x v="220"/>
    <s v="North"/>
    <s v="Smartwatch"/>
    <s v="David"/>
    <n v="18"/>
    <n v="1774"/>
    <x v="0"/>
    <n v="31932"/>
    <n v="27475.697639999999"/>
    <n v="4456.3023640000001"/>
    <n v="0.13955600538644619"/>
  </r>
  <r>
    <x v="221"/>
    <s v="South"/>
    <s v="Printer"/>
    <s v="Grace"/>
    <n v="11"/>
    <n v="1811"/>
    <x v="1"/>
    <n v="19921"/>
    <n v="12576.137580000001"/>
    <n v="7344.8624239999999"/>
    <n v="0.36869948416244164"/>
  </r>
  <r>
    <x v="222"/>
    <s v="West"/>
    <s v="Printer"/>
    <s v="Hannah"/>
    <n v="1"/>
    <n v="1131"/>
    <x v="1"/>
    <n v="1131"/>
    <n v="679.08635219999996"/>
    <n v="451.91364779999998"/>
    <n v="0.39956998037135277"/>
  </r>
  <r>
    <x v="50"/>
    <s v="West"/>
    <s v="Camera"/>
    <s v="Alice"/>
    <n v="10"/>
    <n v="906"/>
    <x v="2"/>
    <n v="9060"/>
    <n v="6662.2149449999997"/>
    <n v="2397.7850549999998"/>
    <n v="0.26465618708609268"/>
  </r>
  <r>
    <x v="223"/>
    <s v="Unknown"/>
    <s v="Unknown"/>
    <s v="Eva"/>
    <n v="9"/>
    <n v="334"/>
    <x v="2"/>
    <n v="3006"/>
    <n v="1943.769753"/>
    <n v="1062.230247"/>
    <n v="0.35337000898203591"/>
  </r>
  <r>
    <x v="224"/>
    <s v="North"/>
    <s v="Mobile"/>
    <s v="Hannah"/>
    <n v="4"/>
    <n v="774"/>
    <x v="2"/>
    <n v="3096"/>
    <n v="2543.0417520000001"/>
    <n v="552.95824809999999"/>
    <n v="0.17860408530361757"/>
  </r>
  <r>
    <x v="49"/>
    <s v="West"/>
    <s v="Monitor"/>
    <s v="Charlie"/>
    <n v="6"/>
    <n v="660"/>
    <x v="1"/>
    <n v="3960"/>
    <n v="3468.8824610000001"/>
    <n v="491.11753859999999"/>
    <n v="0.12401958045454545"/>
  </r>
  <r>
    <x v="225"/>
    <s v="East"/>
    <s v="Mobile"/>
    <s v="unknown"/>
    <n v="16"/>
    <n v="1425"/>
    <x v="2"/>
    <n v="22800"/>
    <n v="13966.856019999999"/>
    <n v="8833.1439819999996"/>
    <n v="0.38741859570175435"/>
  </r>
  <r>
    <x v="226"/>
    <s v="North"/>
    <s v="Printer"/>
    <s v="Grace"/>
    <n v="2"/>
    <n v="137"/>
    <x v="1"/>
    <n v="274"/>
    <n v="196.91684960000001"/>
    <n v="77.083150399999994"/>
    <n v="0.28132536642335765"/>
  </r>
  <r>
    <x v="209"/>
    <s v="West"/>
    <s v="Tablet"/>
    <s v="Frank"/>
    <n v="18"/>
    <n v="1259"/>
    <x v="2"/>
    <n v="22662"/>
    <n v="20374.1463"/>
    <n v="2287.8537040000001"/>
    <n v="0.10095550719265732"/>
  </r>
  <r>
    <x v="8"/>
    <s v="North"/>
    <s v="Laptop"/>
    <s v="Hannah"/>
    <n v="10"/>
    <n v="921"/>
    <x v="2"/>
    <n v="9210"/>
    <n v="7550.3726530000004"/>
    <n v="1659.6273470000001"/>
    <n v="0.18019840901194356"/>
  </r>
  <r>
    <x v="210"/>
    <s v="East"/>
    <s v="Headphones"/>
    <s v="David"/>
    <n v="17"/>
    <n v="520"/>
    <x v="0"/>
    <n v="8840"/>
    <n v="7831.853631"/>
    <n v="1008.146369"/>
    <n v="0.1140437069004525"/>
  </r>
  <r>
    <x v="32"/>
    <s v="South"/>
    <s v="Laptop"/>
    <s v="Eva"/>
    <n v="13"/>
    <n v="1342"/>
    <x v="2"/>
    <n v="17446"/>
    <n v="11326.3791"/>
    <n v="6119.6209019999997"/>
    <n v="0.35077501444457182"/>
  </r>
  <r>
    <x v="181"/>
    <s v="North"/>
    <s v="Printer"/>
    <s v="Frank"/>
    <n v="18"/>
    <n v="447"/>
    <x v="1"/>
    <n v="8046"/>
    <n v="5361.939429"/>
    <n v="2684.060571"/>
    <n v="0.33358943214019388"/>
  </r>
  <r>
    <x v="227"/>
    <s v="Unknown"/>
    <s v="Laptop"/>
    <s v="Charlie"/>
    <n v="13"/>
    <n v="1931"/>
    <x v="2"/>
    <n v="25103"/>
    <n v="16227.66797"/>
    <n v="8875.3320280000007"/>
    <n v="0.3535566278134088"/>
  </r>
  <r>
    <x v="86"/>
    <s v="West"/>
    <s v="Printer"/>
    <s v="David"/>
    <n v="17"/>
    <n v="1669"/>
    <x v="1"/>
    <n v="28373"/>
    <n v="19597.53498"/>
    <n v="8775.465021"/>
    <n v="0.30928928985302928"/>
  </r>
  <r>
    <x v="69"/>
    <s v="North"/>
    <s v="Laptop"/>
    <s v="Charlie"/>
    <n v="5"/>
    <n v="1987"/>
    <x v="2"/>
    <n v="9935"/>
    <n v="8120.0267160000003"/>
    <n v="1814.9732839999999"/>
    <n v="0.18268477946653244"/>
  </r>
  <r>
    <x v="228"/>
    <s v="North"/>
    <s v="Mobile"/>
    <s v="Eva"/>
    <n v="11"/>
    <n v="1202"/>
    <x v="2"/>
    <n v="13222"/>
    <n v="8587.4774249999991"/>
    <n v="4634.522575"/>
    <n v="0.35051600173952502"/>
  </r>
  <r>
    <x v="14"/>
    <s v="West"/>
    <s v="Smartwatch"/>
    <s v="Frank"/>
    <n v="7"/>
    <n v="847"/>
    <x v="0"/>
    <n v="5929"/>
    <n v="4489.8550830000004"/>
    <n v="1439.1449170000001"/>
    <n v="0.24272978866587958"/>
  </r>
  <r>
    <x v="22"/>
    <s v="South"/>
    <s v="Mobile"/>
    <s v="Bob"/>
    <n v="10"/>
    <n v="372"/>
    <x v="2"/>
    <n v="3720"/>
    <n v="2532.4382700000001"/>
    <n v="1187.5617299999999"/>
    <n v="0.31923702419354838"/>
  </r>
  <r>
    <x v="207"/>
    <s v="West"/>
    <s v="Mobile"/>
    <s v="Hannah"/>
    <n v="17"/>
    <n v="1284"/>
    <x v="2"/>
    <n v="21828"/>
    <n v="18526.70564"/>
    <n v="3301.2943599999999"/>
    <n v="0.15124126626351475"/>
  </r>
  <r>
    <x v="229"/>
    <s v="West"/>
    <s v="Camera"/>
    <s v="Hannah"/>
    <n v="18"/>
    <n v="407"/>
    <x v="2"/>
    <n v="7326"/>
    <n v="4885.9620560000003"/>
    <n v="2440.0379440000002"/>
    <n v="0.33306551242151244"/>
  </r>
  <r>
    <x v="145"/>
    <s v="East"/>
    <s v="Camera"/>
    <s v="Eva"/>
    <n v="19"/>
    <n v="1497"/>
    <x v="2"/>
    <n v="28443"/>
    <n v="22230.258860000002"/>
    <n v="6212.7411400000001"/>
    <n v="0.21842777273845937"/>
  </r>
  <r>
    <x v="29"/>
    <s v="West"/>
    <s v="Laptop"/>
    <s v="Frank"/>
    <n v="2"/>
    <n v="1075"/>
    <x v="2"/>
    <n v="2150"/>
    <n v="1352.3782739999999"/>
    <n v="797.62172620000001"/>
    <n v="0.37098684939534882"/>
  </r>
  <r>
    <x v="163"/>
    <s v="North"/>
    <s v="Printer"/>
    <s v="Hannah"/>
    <n v="4"/>
    <n v="832"/>
    <x v="1"/>
    <n v="3328"/>
    <n v="2462.3661160000001"/>
    <n v="865.63388359999999"/>
    <n v="0.26010633521634613"/>
  </r>
  <r>
    <x v="2"/>
    <s v="West"/>
    <s v="Monitor"/>
    <s v="Grace"/>
    <n v="3"/>
    <n v="1132"/>
    <x v="1"/>
    <n v="3396"/>
    <n v="2482.0079940000001"/>
    <n v="913.99200629999996"/>
    <n v="0.26913781104240281"/>
  </r>
  <r>
    <x v="56"/>
    <s v="South"/>
    <s v="Mobile"/>
    <s v="Hannah"/>
    <n v="7"/>
    <n v="1924"/>
    <x v="2"/>
    <n v="13468"/>
    <n v="11525.33396"/>
    <n v="1942.6660429999999"/>
    <n v="0.14424309793584794"/>
  </r>
  <r>
    <x v="104"/>
    <s v="West"/>
    <s v="Monitor"/>
    <s v="Frank"/>
    <n v="18"/>
    <n v="543"/>
    <x v="1"/>
    <n v="9774"/>
    <n v="7698.1896500000003"/>
    <n v="2075.8103500000002"/>
    <n v="0.2123808420298752"/>
  </r>
  <r>
    <x v="50"/>
    <s v="South"/>
    <s v="Laptop"/>
    <s v="Alice"/>
    <n v="10"/>
    <n v="1236"/>
    <x v="2"/>
    <n v="12360"/>
    <n v="9788.0152460000008"/>
    <n v="2571.9847540000001"/>
    <n v="0.20808938139158575"/>
  </r>
  <r>
    <x v="47"/>
    <s v="East"/>
    <s v="Camera"/>
    <s v="Frank"/>
    <n v="7"/>
    <n v="1328"/>
    <x v="2"/>
    <n v="9296"/>
    <n v="8232.0010399999992"/>
    <n v="1063.9989599999999"/>
    <n v="0.11445771944922546"/>
  </r>
  <r>
    <x v="175"/>
    <s v="South"/>
    <s v="Smartwatch"/>
    <s v="Frank"/>
    <n v="8"/>
    <n v="504"/>
    <x v="0"/>
    <n v="4032"/>
    <n v="3607.4631100000001"/>
    <n v="424.53689000000003"/>
    <n v="0.10529188740079366"/>
  </r>
  <r>
    <x v="131"/>
    <s v="West"/>
    <s v="Headphones"/>
    <s v="Hannah"/>
    <n v="6"/>
    <n v="1821"/>
    <x v="0"/>
    <n v="10926"/>
    <n v="8697.2972530000006"/>
    <n v="2228.7027469999998"/>
    <n v="0.2039815803587772"/>
  </r>
  <r>
    <x v="106"/>
    <s v="North"/>
    <s v="Laptop"/>
    <s v="Charlie"/>
    <n v="1"/>
    <n v="952"/>
    <x v="2"/>
    <n v="952"/>
    <n v="720.28361419999999"/>
    <n v="231.71638580000001"/>
    <n v="0.2433995649159664"/>
  </r>
  <r>
    <x v="0"/>
    <s v="South"/>
    <s v="Monitor"/>
    <s v="Bob"/>
    <n v="4"/>
    <n v="1320"/>
    <x v="1"/>
    <n v="5280"/>
    <n v="4130.9453729999996"/>
    <n v="1149.054627"/>
    <n v="0.21762398238636363"/>
  </r>
  <r>
    <x v="230"/>
    <s v="East"/>
    <s v="Smartwatch"/>
    <s v="Charlie"/>
    <n v="14"/>
    <n v="877"/>
    <x v="0"/>
    <n v="12278"/>
    <n v="8775.4931429999997"/>
    <n v="3502.5068569999999"/>
    <n v="0.28526688849975562"/>
  </r>
  <r>
    <x v="231"/>
    <s v="South"/>
    <s v="Headphones"/>
    <s v="Hannah"/>
    <n v="17"/>
    <n v="1897"/>
    <x v="0"/>
    <n v="32249"/>
    <n v="28902.74653"/>
    <n v="3346.2534679999999"/>
    <n v="0.10376301491519116"/>
  </r>
  <r>
    <x v="191"/>
    <s v="South"/>
    <s v="Tablet"/>
    <s v="Charlie"/>
    <n v="18"/>
    <n v="1883"/>
    <x v="2"/>
    <n v="33894"/>
    <n v="27505.197169999999"/>
    <n v="6388.8028290000002"/>
    <n v="0.18849362214551249"/>
  </r>
  <r>
    <x v="232"/>
    <s v="South"/>
    <s v="Laptop"/>
    <s v="David"/>
    <n v="11"/>
    <n v="214"/>
    <x v="2"/>
    <n v="2354"/>
    <n v="1617.9089980000001"/>
    <n v="736.09100179999996"/>
    <n v="0.31269796168224295"/>
  </r>
  <r>
    <x v="233"/>
    <s v="East"/>
    <s v="Laptop"/>
    <s v="Alice"/>
    <n v="14"/>
    <n v="1244"/>
    <x v="2"/>
    <n v="17416"/>
    <n v="10751.417359999999"/>
    <n v="6664.582641"/>
    <n v="0.38267011030087278"/>
  </r>
  <r>
    <x v="217"/>
    <s v="West"/>
    <s v="Tablet"/>
    <s v="Charlie"/>
    <n v="9"/>
    <n v="1776"/>
    <x v="2"/>
    <n v="15984"/>
    <n v="9804.8505949999999"/>
    <n v="6179.1494050000001"/>
    <n v="0.38658342123373374"/>
  </r>
  <r>
    <x v="234"/>
    <s v="South"/>
    <s v="Tablet"/>
    <s v="Grace"/>
    <n v="15"/>
    <n v="164"/>
    <x v="2"/>
    <n v="2460"/>
    <n v="1627.22578"/>
    <n v="832.77422039999999"/>
    <n v="0.33852610585365855"/>
  </r>
  <r>
    <x v="167"/>
    <s v="South"/>
    <s v="Laptop"/>
    <s v="Eva"/>
    <n v="12"/>
    <n v="1399"/>
    <x v="2"/>
    <n v="16788"/>
    <n v="11245.84331"/>
    <n v="5542.1566940000002"/>
    <n v="0.33012608375029784"/>
  </r>
  <r>
    <x v="160"/>
    <s v="North"/>
    <s v="Tablet"/>
    <s v="Grace"/>
    <n v="10"/>
    <n v="924"/>
    <x v="2"/>
    <n v="9240"/>
    <n v="6694.5061089999999"/>
    <n v="2545.4938910000001"/>
    <n v="0.27548635183982684"/>
  </r>
  <r>
    <x v="235"/>
    <s v="East"/>
    <s v="Mobile"/>
    <s v="Eva"/>
    <n v="19"/>
    <n v="338"/>
    <x v="2"/>
    <n v="6422"/>
    <n v="4267.1223259999997"/>
    <n v="2154.8776739999998"/>
    <n v="0.33554619651199002"/>
  </r>
  <r>
    <x v="162"/>
    <s v="South"/>
    <s v="Headphones"/>
    <s v="unknown"/>
    <n v="19"/>
    <n v="401"/>
    <x v="0"/>
    <n v="7619"/>
    <n v="6013.4719720000003"/>
    <n v="1605.5280279999999"/>
    <n v="0.21072687071794199"/>
  </r>
  <r>
    <x v="189"/>
    <s v="South"/>
    <s v="Headphones"/>
    <s v="Alice"/>
    <n v="6"/>
    <n v="1645"/>
    <x v="0"/>
    <n v="9870"/>
    <n v="6478.3024320000004"/>
    <n v="3391.697568"/>
    <n v="0.34363703829787234"/>
  </r>
  <r>
    <x v="164"/>
    <s v="West"/>
    <s v="Mobile"/>
    <s v="Grace"/>
    <n v="8"/>
    <n v="1068"/>
    <x v="2"/>
    <n v="8544"/>
    <n v="6334.27466"/>
    <n v="2209.72534"/>
    <n v="0.25862890215355805"/>
  </r>
  <r>
    <x v="236"/>
    <s v="West"/>
    <s v="Printer"/>
    <s v="Alice"/>
    <n v="1"/>
    <n v="468"/>
    <x v="1"/>
    <n v="468"/>
    <n v="405.56907130000002"/>
    <n v="62.430928649999998"/>
    <n v="0.13339942019230769"/>
  </r>
  <r>
    <x v="237"/>
    <s v="South"/>
    <s v="Tablet"/>
    <s v="Grace"/>
    <n v="17"/>
    <n v="332"/>
    <x v="2"/>
    <n v="5644"/>
    <n v="4179.3348509999996"/>
    <n v="1464.6651489999999"/>
    <n v="0.25950835382707299"/>
  </r>
  <r>
    <x v="238"/>
    <s v="West"/>
    <s v="Smartwatch"/>
    <s v="Frank"/>
    <n v="17"/>
    <n v="294"/>
    <x v="0"/>
    <n v="4998"/>
    <n v="3619.3248079999998"/>
    <n v="1378.6751919999999"/>
    <n v="0.27584537655062025"/>
  </r>
  <r>
    <x v="239"/>
    <s v="South"/>
    <s v="Tablet"/>
    <s v="Eva"/>
    <n v="15"/>
    <n v="1006"/>
    <x v="2"/>
    <n v="15090"/>
    <n v="11671.03565"/>
    <n v="3418.9643540000002"/>
    <n v="0.22657152776673295"/>
  </r>
  <r>
    <x v="49"/>
    <s v="West"/>
    <s v="Laptop"/>
    <s v="Bob"/>
    <n v="7"/>
    <n v="1135"/>
    <x v="2"/>
    <n v="7945"/>
    <n v="5380.0688030000001"/>
    <n v="2564.9311969999999"/>
    <n v="0.32283589641283827"/>
  </r>
  <r>
    <x v="207"/>
    <s v="North"/>
    <s v="Camera"/>
    <s v="David"/>
    <n v="19"/>
    <n v="1020"/>
    <x v="2"/>
    <n v="19380"/>
    <n v="13682.88013"/>
    <n v="5697.1198720000002"/>
    <n v="0.29396903364293087"/>
  </r>
  <r>
    <x v="111"/>
    <s v="North"/>
    <s v="Monitor"/>
    <s v="Grace"/>
    <n v="3"/>
    <n v="788"/>
    <x v="1"/>
    <n v="2364"/>
    <n v="1570.0519629999999"/>
    <n v="793.94803669999999"/>
    <n v="0.33584942330795264"/>
  </r>
  <r>
    <x v="240"/>
    <s v="East"/>
    <s v="Headphones"/>
    <s v="Frank"/>
    <n v="19"/>
    <n v="316"/>
    <x v="0"/>
    <n v="6004"/>
    <n v="4858.5344759999998"/>
    <n v="1145.465524"/>
    <n v="0.19078373151232511"/>
  </r>
  <r>
    <x v="241"/>
    <s v="North"/>
    <s v="Smartwatch"/>
    <s v="Eva"/>
    <n v="10"/>
    <n v="1569"/>
    <x v="0"/>
    <n v="15690"/>
    <n v="10613.427470000001"/>
    <n v="5076.5725309999998"/>
    <n v="0.32355465462077754"/>
  </r>
  <r>
    <x v="211"/>
    <s v="East"/>
    <s v="Laptop"/>
    <s v="Eva"/>
    <n v="2"/>
    <n v="729"/>
    <x v="2"/>
    <n v="1458"/>
    <n v="1215.818125"/>
    <n v="242.1818748"/>
    <n v="0.16610553827160493"/>
  </r>
  <r>
    <x v="207"/>
    <s v="South"/>
    <s v="Printer"/>
    <s v="Bob"/>
    <n v="16"/>
    <n v="1674"/>
    <x v="1"/>
    <n v="26784"/>
    <n v="17278.183379999999"/>
    <n v="9505.8166230000006"/>
    <n v="0.3549065346102151"/>
  </r>
  <r>
    <x v="7"/>
    <s v="South"/>
    <s v="Mobile"/>
    <s v="Bob"/>
    <n v="18"/>
    <n v="152"/>
    <x v="2"/>
    <n v="2736"/>
    <n v="1928.723021"/>
    <n v="807.27697909999995"/>
    <n v="0.29505737540204674"/>
  </r>
  <r>
    <x v="242"/>
    <s v="North"/>
    <s v="Laptop"/>
    <s v="David"/>
    <n v="6"/>
    <n v="1841"/>
    <x v="2"/>
    <n v="11046"/>
    <n v="7098.1656270000003"/>
    <n v="3947.8343730000001"/>
    <n v="0.3573994543726236"/>
  </r>
  <r>
    <x v="243"/>
    <s v="East"/>
    <s v="Headphones"/>
    <s v="David"/>
    <n v="14"/>
    <n v="1098"/>
    <x v="0"/>
    <n v="15372"/>
    <n v="12211.918530000001"/>
    <n v="3160.0814740000001"/>
    <n v="0.20557386638043196"/>
  </r>
  <r>
    <x v="117"/>
    <s v="West"/>
    <s v="Tablet"/>
    <s v="Eva"/>
    <n v="15"/>
    <n v="923"/>
    <x v="2"/>
    <n v="13845"/>
    <n v="11891.752920000001"/>
    <n v="1953.2470780000001"/>
    <n v="0.14107960115565188"/>
  </r>
  <r>
    <x v="151"/>
    <s v="West"/>
    <s v="Laptop"/>
    <s v="Alice"/>
    <n v="14"/>
    <n v="1483"/>
    <x v="2"/>
    <n v="20762"/>
    <n v="14283.054980000001"/>
    <n v="6478.9450180000003"/>
    <n v="0.31205784693189481"/>
  </r>
  <r>
    <x v="244"/>
    <s v="North"/>
    <s v="Monitor"/>
    <s v="Frank"/>
    <n v="3"/>
    <n v="484"/>
    <x v="1"/>
    <n v="1452"/>
    <n v="1067.3100019999999"/>
    <n v="384.689998"/>
    <n v="0.26493801515151516"/>
  </r>
  <r>
    <x v="97"/>
    <s v="West"/>
    <s v="Printer"/>
    <s v="David"/>
    <n v="19"/>
    <n v="155"/>
    <x v="1"/>
    <n v="2945"/>
    <n v="1968.7122609999999"/>
    <n v="976.28773899999999"/>
    <n v="0.33150687232597625"/>
  </r>
  <r>
    <x v="42"/>
    <s v="West"/>
    <s v="Mobile"/>
    <s v="Alice"/>
    <n v="12"/>
    <n v="217"/>
    <x v="2"/>
    <n v="2604"/>
    <n v="1844.617663"/>
    <n v="759.38233730000002"/>
    <n v="0.29162148129800308"/>
  </r>
  <r>
    <x v="73"/>
    <s v="West"/>
    <s v="Printer"/>
    <s v="Alice"/>
    <n v="2"/>
    <n v="999"/>
    <x v="1"/>
    <n v="1998"/>
    <n v="1211.9691600000001"/>
    <n v="786.03083990000005"/>
    <n v="0.39340882877877881"/>
  </r>
  <r>
    <x v="245"/>
    <s v="West"/>
    <s v="Printer"/>
    <s v="Grace"/>
    <n v="3"/>
    <n v="1376"/>
    <x v="1"/>
    <n v="4128"/>
    <n v="3657.9480199999998"/>
    <n v="470.0519797"/>
    <n v="0.11386918112887597"/>
  </r>
  <r>
    <x v="5"/>
    <s v="East"/>
    <s v="Smartwatch"/>
    <s v="Eva"/>
    <n v="18"/>
    <n v="897"/>
    <x v="0"/>
    <n v="16146"/>
    <n v="11702.08901"/>
    <n v="4443.9109850000004"/>
    <n v="0.27523293602130561"/>
  </r>
  <r>
    <x v="19"/>
    <s v="West"/>
    <s v="Smartwatch"/>
    <s v="Alice"/>
    <n v="1"/>
    <n v="879"/>
    <x v="0"/>
    <n v="879"/>
    <n v="735.42504799999995"/>
    <n v="143.574952"/>
    <n v="0.1633389670079636"/>
  </r>
  <r>
    <x v="246"/>
    <s v="South"/>
    <s v="Tablet"/>
    <s v="Hannah"/>
    <n v="6"/>
    <n v="1115"/>
    <x v="2"/>
    <n v="6690"/>
    <n v="4300.2853789999999"/>
    <n v="2389.7146210000001"/>
    <n v="0.35720696875934232"/>
  </r>
  <r>
    <x v="1"/>
    <s v="East"/>
    <s v="Smartwatch"/>
    <s v="Hannah"/>
    <n v="1"/>
    <n v="944"/>
    <x v="0"/>
    <n v="944"/>
    <n v="809.9937185"/>
    <n v="134.0062815"/>
    <n v="0.14195580667372881"/>
  </r>
  <r>
    <x v="152"/>
    <s v="West"/>
    <s v="Laptop"/>
    <s v="Bob"/>
    <n v="19"/>
    <n v="1303"/>
    <x v="2"/>
    <n v="24757"/>
    <n v="20168.120180000002"/>
    <n v="4588.8798180000003"/>
    <n v="0.18535686141293373"/>
  </r>
  <r>
    <x v="247"/>
    <s v="East"/>
    <s v="Monitor"/>
    <s v="Charlie"/>
    <n v="1"/>
    <n v="1538"/>
    <x v="1"/>
    <n v="1538"/>
    <n v="1339.5403209999999"/>
    <n v="198.4596789"/>
    <n v="0.12903750253576074"/>
  </r>
  <r>
    <x v="248"/>
    <s v="West"/>
    <s v="Headphones"/>
    <s v="Eva"/>
    <n v="16"/>
    <n v="1993"/>
    <x v="0"/>
    <n v="31888"/>
    <n v="20732.27462"/>
    <n v="11155.72538"/>
    <n v="0.34984086113898644"/>
  </r>
  <r>
    <x v="160"/>
    <s v="South"/>
    <s v="Tablet"/>
    <s v="Grace"/>
    <n v="12"/>
    <n v="1358"/>
    <x v="2"/>
    <n v="16296"/>
    <n v="12107.024359999999"/>
    <n v="4188.9756349999998"/>
    <n v="0.25705545133775159"/>
  </r>
  <r>
    <x v="126"/>
    <s v="North"/>
    <s v="Laptop"/>
    <s v="Frank"/>
    <n v="8"/>
    <n v="954"/>
    <x v="2"/>
    <n v="7632"/>
    <n v="5999.0027849999997"/>
    <n v="1632.9972150000001"/>
    <n v="0.21396714033018868"/>
  </r>
  <r>
    <x v="249"/>
    <s v="West"/>
    <s v="Unknown"/>
    <s v="Hannah"/>
    <n v="1"/>
    <n v="1943"/>
    <x v="1"/>
    <n v="1943"/>
    <n v="1667.7007610000001"/>
    <n v="275.29923930000001"/>
    <n v="0.14168771966031909"/>
  </r>
  <r>
    <x v="148"/>
    <s v="West"/>
    <s v="Laptop"/>
    <s v="Charlie"/>
    <n v="4"/>
    <n v="1203"/>
    <x v="2"/>
    <n v="4812"/>
    <n v="3198.5720590000001"/>
    <n v="1613.4279409999999"/>
    <n v="0.33529258956774727"/>
  </r>
  <r>
    <x v="246"/>
    <s v="West"/>
    <s v="Camera"/>
    <s v="Bob"/>
    <n v="10"/>
    <n v="1770"/>
    <x v="2"/>
    <n v="17700"/>
    <n v="11552.668750000001"/>
    <n v="6147.3312489999998"/>
    <n v="0.34730685022598867"/>
  </r>
  <r>
    <x v="233"/>
    <s v="North"/>
    <s v="Laptop"/>
    <s v="Grace"/>
    <n v="11"/>
    <n v="121"/>
    <x v="2"/>
    <n v="1331"/>
    <n v="899.77407289999996"/>
    <n v="431.22592709999998"/>
    <n v="0.32398642156273477"/>
  </r>
  <r>
    <x v="250"/>
    <s v="North"/>
    <s v="Smartwatch"/>
    <s v="Charlie"/>
    <n v="17"/>
    <n v="1600"/>
    <x v="0"/>
    <n v="27200"/>
    <n v="23595.0484"/>
    <n v="3604.9515970000002"/>
    <n v="0.13253498518382353"/>
  </r>
  <r>
    <x v="188"/>
    <s v="South"/>
    <s v="Headphones"/>
    <s v="Eva"/>
    <n v="7"/>
    <n v="942"/>
    <x v="0"/>
    <n v="6594"/>
    <n v="5817.9397749999998"/>
    <n v="776.06022510000003"/>
    <n v="0.11769187520473158"/>
  </r>
  <r>
    <x v="251"/>
    <s v="North"/>
    <s v="Tablet"/>
    <s v="Grace"/>
    <n v="12"/>
    <n v="1563"/>
    <x v="2"/>
    <n v="18756"/>
    <n v="14458.794669999999"/>
    <n v="4297.2053290000003"/>
    <n v="0.22911096870334827"/>
  </r>
  <r>
    <x v="61"/>
    <s v="West"/>
    <s v="Tablet"/>
    <s v="Eva"/>
    <n v="7"/>
    <n v="1860"/>
    <x v="2"/>
    <n v="13020"/>
    <n v="9770.3587759999991"/>
    <n v="3249.641224"/>
    <n v="0.24958841966205836"/>
  </r>
  <r>
    <x v="252"/>
    <s v="South"/>
    <s v="Headphones"/>
    <s v="Alice"/>
    <n v="12"/>
    <n v="1693"/>
    <x v="0"/>
    <n v="20316"/>
    <n v="15879.3042"/>
    <n v="4436.695796"/>
    <n v="0.21838431758220123"/>
  </r>
  <r>
    <x v="168"/>
    <s v="South"/>
    <s v="Smartwatch"/>
    <s v="David"/>
    <n v="15"/>
    <n v="1216"/>
    <x v="0"/>
    <n v="18240"/>
    <n v="14316.435460000001"/>
    <n v="3923.5645399999999"/>
    <n v="0.21510770504385965"/>
  </r>
  <r>
    <x v="11"/>
    <s v="South"/>
    <s v="Mobile"/>
    <s v="Alice"/>
    <n v="2"/>
    <n v="291"/>
    <x v="2"/>
    <n v="582"/>
    <n v="378.93520150000001"/>
    <n v="203.06479849999999"/>
    <n v="0.34890858848797252"/>
  </r>
  <r>
    <x v="89"/>
    <s v="West"/>
    <s v="Laptop"/>
    <s v="Eva"/>
    <n v="14"/>
    <n v="1118"/>
    <x v="2"/>
    <n v="15652"/>
    <n v="12614.310939999999"/>
    <n v="3037.6890640000001"/>
    <n v="0.19407673549706109"/>
  </r>
  <r>
    <x v="176"/>
    <s v="East"/>
    <s v="Smartwatch"/>
    <s v="Hannah"/>
    <n v="13"/>
    <n v="1226"/>
    <x v="0"/>
    <n v="15938"/>
    <n v="11725.671560000001"/>
    <n v="4212.3284389999999"/>
    <n v="0.26429466928096373"/>
  </r>
  <r>
    <x v="118"/>
    <s v="West"/>
    <s v="Camera"/>
    <s v="unknown"/>
    <n v="4"/>
    <n v="495"/>
    <x v="2"/>
    <n v="1980"/>
    <n v="1495.3248840000001"/>
    <n v="484.67511639999998"/>
    <n v="0.24478541232323231"/>
  </r>
  <r>
    <x v="253"/>
    <s v="North"/>
    <s v="Monitor"/>
    <s v="Bob"/>
    <n v="14"/>
    <n v="1130"/>
    <x v="1"/>
    <n v="15820"/>
    <n v="9635.8826040000004"/>
    <n v="6184.1173959999996"/>
    <n v="0.39090501871049305"/>
  </r>
  <r>
    <x v="254"/>
    <s v="North"/>
    <s v="Printer"/>
    <s v="Frank"/>
    <n v="14"/>
    <n v="739"/>
    <x v="1"/>
    <n v="10346"/>
    <n v="8580.6308759999993"/>
    <n v="1765.3691240000001"/>
    <n v="0.17063301024550551"/>
  </r>
  <r>
    <x v="255"/>
    <s v="West"/>
    <s v="Unknown"/>
    <s v="Bob"/>
    <n v="16"/>
    <n v="1118"/>
    <x v="0"/>
    <n v="17888"/>
    <n v="15216.04061"/>
    <n v="2671.9593890000001"/>
    <n v="0.14937161163908766"/>
  </r>
  <r>
    <x v="256"/>
    <s v="West"/>
    <s v="Monitor"/>
    <s v="Grace"/>
    <n v="7"/>
    <n v="666"/>
    <x v="1"/>
    <n v="4662"/>
    <n v="3663.5229850000001"/>
    <n v="998.47701470000004"/>
    <n v="0.21417353382668383"/>
  </r>
  <r>
    <x v="215"/>
    <s v="South"/>
    <s v="Laptop"/>
    <s v="Alice"/>
    <n v="19"/>
    <n v="330"/>
    <x v="2"/>
    <n v="6270"/>
    <n v="5170.349158"/>
    <n v="1099.650842"/>
    <n v="0.17538290940988835"/>
  </r>
  <r>
    <x v="157"/>
    <s v="West"/>
    <s v="Tablet"/>
    <s v="Frank"/>
    <n v="2"/>
    <n v="973"/>
    <x v="2"/>
    <n v="1946"/>
    <n v="1472.7557650000001"/>
    <n v="473.24423530000001"/>
    <n v="0.24318819902363825"/>
  </r>
  <r>
    <x v="11"/>
    <s v="South"/>
    <s v="Printer"/>
    <s v="unknown"/>
    <n v="10"/>
    <n v="673"/>
    <x v="1"/>
    <n v="6730"/>
    <n v="5286.4554719999996"/>
    <n v="1443.5445279999999"/>
    <n v="0.21449398632986624"/>
  </r>
  <r>
    <x v="243"/>
    <s v="North"/>
    <s v="Monitor"/>
    <s v="Eva"/>
    <n v="18"/>
    <n v="339"/>
    <x v="1"/>
    <n v="6102"/>
    <n v="4383.5029510000004"/>
    <n v="1718.4970490000001"/>
    <n v="0.28162849049491973"/>
  </r>
  <r>
    <x v="145"/>
    <s v="South"/>
    <s v="Unknown"/>
    <s v="Hannah"/>
    <n v="17"/>
    <n v="189"/>
    <x v="2"/>
    <n v="3213"/>
    <n v="2691.0876039999998"/>
    <n v="521.91239589999998"/>
    <n v="0.16243772047930283"/>
  </r>
  <r>
    <x v="206"/>
    <s v="West"/>
    <s v="Monitor"/>
    <s v="Bob"/>
    <n v="5"/>
    <n v="331"/>
    <x v="1"/>
    <n v="1655"/>
    <n v="1225.496517"/>
    <n v="429.50348309999998"/>
    <n v="0.25951872090634442"/>
  </r>
  <r>
    <x v="255"/>
    <s v="North"/>
    <s v="Camera"/>
    <s v="Eva"/>
    <n v="12"/>
    <n v="556"/>
    <x v="2"/>
    <n v="6672"/>
    <n v="5364.7141490000004"/>
    <n v="1307.2858510000001"/>
    <n v="0.19593612874700242"/>
  </r>
  <r>
    <x v="164"/>
    <s v="East"/>
    <s v="Tablet"/>
    <s v="Frank"/>
    <n v="6"/>
    <n v="332"/>
    <x v="2"/>
    <n v="1992"/>
    <n v="1566.5661970000001"/>
    <n v="425.43380330000002"/>
    <n v="0.21357118639558234"/>
  </r>
  <r>
    <x v="117"/>
    <s v="South"/>
    <s v="Headphones"/>
    <s v="Frank"/>
    <n v="9"/>
    <n v="453"/>
    <x v="0"/>
    <n v="4077"/>
    <n v="3305.200887"/>
    <n v="771.79911259999994"/>
    <n v="0.1893056444935001"/>
  </r>
  <r>
    <x v="105"/>
    <s v="North"/>
    <s v="Laptop"/>
    <s v="Bob"/>
    <n v="1"/>
    <n v="1104"/>
    <x v="2"/>
    <n v="1104"/>
    <n v="922.46349780000003"/>
    <n v="181.5365022"/>
    <n v="0.1644352375"/>
  </r>
  <r>
    <x v="157"/>
    <s v="South"/>
    <s v="Headphones"/>
    <s v="Eva"/>
    <n v="15"/>
    <n v="1456"/>
    <x v="0"/>
    <n v="21840"/>
    <n v="16463.298729999999"/>
    <n v="5376.7012690000001"/>
    <n v="0.24618595554029304"/>
  </r>
  <r>
    <x v="195"/>
    <s v="North"/>
    <s v="Printer"/>
    <s v="Charlie"/>
    <n v="6"/>
    <n v="538"/>
    <x v="1"/>
    <n v="3228"/>
    <n v="2724.173065"/>
    <n v="503.82693469999998"/>
    <n v="0.15608021521065674"/>
  </r>
  <r>
    <x v="257"/>
    <s v="North"/>
    <s v="Laptop"/>
    <s v="Eva"/>
    <n v="19"/>
    <n v="1498"/>
    <x v="2"/>
    <n v="28462"/>
    <n v="21323.08065"/>
    <n v="7138.9193539999997"/>
    <n v="0.25082282882439744"/>
  </r>
  <r>
    <x v="258"/>
    <s v="East"/>
    <s v="Mobile"/>
    <s v="unknown"/>
    <n v="6"/>
    <n v="444"/>
    <x v="2"/>
    <n v="2664"/>
    <n v="2199.9352610000001"/>
    <n v="464.06473849999998"/>
    <n v="0.17419847541291292"/>
  </r>
  <r>
    <x v="152"/>
    <s v="North"/>
    <s v="Smartwatch"/>
    <s v="Hannah"/>
    <n v="13"/>
    <n v="763"/>
    <x v="0"/>
    <n v="9919"/>
    <n v="6460.6662070000002"/>
    <n v="3458.3337929999998"/>
    <n v="0.348657505091239"/>
  </r>
  <r>
    <x v="16"/>
    <s v="North"/>
    <s v="Smartwatch"/>
    <s v="Grace"/>
    <n v="1"/>
    <n v="1551"/>
    <x v="0"/>
    <n v="1551"/>
    <n v="1316.6056550000001"/>
    <n v="234.39434549999999"/>
    <n v="0.15112465860735008"/>
  </r>
  <r>
    <x v="123"/>
    <s v="North"/>
    <s v="Headphones"/>
    <s v="Alice"/>
    <n v="13"/>
    <n v="756"/>
    <x v="0"/>
    <n v="9828"/>
    <n v="7523.1010589999996"/>
    <n v="2304.8989409999999"/>
    <n v="0.23452370177045176"/>
  </r>
  <r>
    <x v="48"/>
    <s v="East"/>
    <s v="Printer"/>
    <s v="Hannah"/>
    <n v="7"/>
    <n v="229"/>
    <x v="1"/>
    <n v="1603"/>
    <n v="1435.227275"/>
    <n v="167.77272529999999"/>
    <n v="0.10466171260137241"/>
  </r>
  <r>
    <x v="143"/>
    <s v="East"/>
    <s v="Mobile"/>
    <s v="Charlie"/>
    <n v="15"/>
    <n v="240"/>
    <x v="2"/>
    <n v="3600"/>
    <n v="2936.3245670000001"/>
    <n v="663.67543279999995"/>
    <n v="0.18435428688888889"/>
  </r>
  <r>
    <x v="259"/>
    <s v="West"/>
    <s v="Monitor"/>
    <s v="David"/>
    <n v="12"/>
    <n v="514"/>
    <x v="1"/>
    <n v="6168"/>
    <n v="3856.9566369999998"/>
    <n v="2311.0433630000002"/>
    <n v="0.37468277610246437"/>
  </r>
  <r>
    <x v="88"/>
    <s v="South"/>
    <s v="Laptop"/>
    <s v="Grace"/>
    <n v="1"/>
    <n v="1216"/>
    <x v="2"/>
    <n v="1216"/>
    <n v="873.68156399999998"/>
    <n v="342.31843600000002"/>
    <n v="0.28151187171052633"/>
  </r>
  <r>
    <x v="96"/>
    <s v="East"/>
    <s v="Laptop"/>
    <s v="Alice"/>
    <n v="15"/>
    <n v="725"/>
    <x v="2"/>
    <n v="10875"/>
    <n v="8212.6110009999993"/>
    <n v="2662.3889989999998"/>
    <n v="0.24481737921839078"/>
  </r>
  <r>
    <x v="113"/>
    <s v="South"/>
    <s v="Camera"/>
    <s v="David"/>
    <n v="4"/>
    <n v="383"/>
    <x v="2"/>
    <n v="1532"/>
    <n v="1304.8106519999999"/>
    <n v="227.189348"/>
    <n v="0.14829591906005221"/>
  </r>
  <r>
    <x v="104"/>
    <s v="West"/>
    <s v="Tablet"/>
    <s v="Bob"/>
    <n v="13"/>
    <n v="1778"/>
    <x v="2"/>
    <n v="23114"/>
    <n v="18925.827799999999"/>
    <n v="4188.1721960000004"/>
    <n v="0.18119633970753657"/>
  </r>
  <r>
    <x v="95"/>
    <s v="South"/>
    <s v="Camera"/>
    <s v="unknown"/>
    <n v="5"/>
    <n v="322"/>
    <x v="2"/>
    <n v="1610"/>
    <n v="1144.4009140000001"/>
    <n v="465.59908589999998"/>
    <n v="0.28919197881987574"/>
  </r>
  <r>
    <x v="203"/>
    <s v="East"/>
    <s v="Monitor"/>
    <s v="Grace"/>
    <n v="2"/>
    <n v="843"/>
    <x v="1"/>
    <n v="1686"/>
    <n v="1342.1062529999999"/>
    <n v="343.89374670000001"/>
    <n v="0.20397019377224199"/>
  </r>
  <r>
    <x v="81"/>
    <s v="South"/>
    <s v="Camera"/>
    <s v="Eva"/>
    <n v="1"/>
    <n v="562"/>
    <x v="2"/>
    <n v="562"/>
    <n v="434.46717910000001"/>
    <n v="127.5328209"/>
    <n v="0.22692672758007118"/>
  </r>
  <r>
    <x v="260"/>
    <s v="East"/>
    <s v="Laptop"/>
    <s v="Grace"/>
    <n v="16"/>
    <n v="1668"/>
    <x v="2"/>
    <n v="26688"/>
    <n v="17022.027610000001"/>
    <n v="9665.9723919999997"/>
    <n v="0.36218421732613909"/>
  </r>
  <r>
    <x v="261"/>
    <s v="South"/>
    <s v="Headphones"/>
    <s v="Hannah"/>
    <n v="6"/>
    <n v="1399"/>
    <x v="0"/>
    <n v="8394"/>
    <n v="5627.8211609999998"/>
    <n v="2766.1788390000002"/>
    <n v="0.3295423920657613"/>
  </r>
  <r>
    <x v="262"/>
    <s v="East"/>
    <s v="Smartwatch"/>
    <s v="David"/>
    <n v="16"/>
    <n v="1805"/>
    <x v="0"/>
    <n v="28880"/>
    <n v="20283.48372"/>
    <n v="8596.5162830000008"/>
    <n v="0.29766330619806097"/>
  </r>
  <r>
    <x v="62"/>
    <s v="East"/>
    <s v="Printer"/>
    <s v="Frank"/>
    <n v="14"/>
    <n v="1263"/>
    <x v="1"/>
    <n v="17682"/>
    <n v="11646.16128"/>
    <n v="6035.8387229999998"/>
    <n v="0.34135497811333559"/>
  </r>
  <r>
    <x v="249"/>
    <s v="South"/>
    <s v="Smartwatch"/>
    <s v="Alice"/>
    <n v="3"/>
    <n v="456"/>
    <x v="0"/>
    <n v="1368"/>
    <n v="882.41493030000004"/>
    <n v="485.58506970000002"/>
    <n v="0.35495984627192984"/>
  </r>
  <r>
    <x v="263"/>
    <s v="West"/>
    <s v="Smartwatch"/>
    <s v="Alice"/>
    <n v="15"/>
    <n v="1836"/>
    <x v="0"/>
    <n v="27540"/>
    <n v="17004.829979999999"/>
    <n v="10535.17002"/>
    <n v="0.3825406688453159"/>
  </r>
  <r>
    <x v="201"/>
    <s v="North"/>
    <s v="Mobile"/>
    <s v="David"/>
    <n v="3"/>
    <n v="1146"/>
    <x v="2"/>
    <n v="3438"/>
    <n v="2963.317986"/>
    <n v="474.68201379999999"/>
    <n v="0.13806923030831877"/>
  </r>
  <r>
    <x v="199"/>
    <s v="West"/>
    <s v="Laptop"/>
    <s v="Alice"/>
    <n v="2"/>
    <n v="1859"/>
    <x v="2"/>
    <n v="3718"/>
    <n v="2553.0874880000001"/>
    <n v="1164.9125120000001"/>
    <n v="0.31331697471759012"/>
  </r>
  <r>
    <x v="24"/>
    <s v="South"/>
    <s v="Monitor"/>
    <s v="Frank"/>
    <n v="1"/>
    <n v="1393"/>
    <x v="1"/>
    <n v="1393"/>
    <n v="957.12498040000003"/>
    <n v="435.87501959999997"/>
    <n v="0.31290381880832735"/>
  </r>
  <r>
    <x v="45"/>
    <s v="West"/>
    <s v="Monitor"/>
    <s v="Grace"/>
    <n v="9"/>
    <n v="958"/>
    <x v="1"/>
    <n v="8622"/>
    <n v="5706.6297000000004"/>
    <n v="2915.3703"/>
    <n v="0.33813155880306195"/>
  </r>
  <r>
    <x v="51"/>
    <s v="East"/>
    <s v="Printer"/>
    <s v="Alice"/>
    <n v="9"/>
    <n v="764"/>
    <x v="1"/>
    <n v="6876"/>
    <n v="5106.249699"/>
    <n v="1769.750301"/>
    <n v="0.25738078839441536"/>
  </r>
  <r>
    <x v="264"/>
    <s v="South"/>
    <s v="Mobile"/>
    <s v="Charlie"/>
    <n v="3"/>
    <n v="1114"/>
    <x v="2"/>
    <n v="3342"/>
    <n v="2214.0228900000002"/>
    <n v="1127.97711"/>
    <n v="0.33751559245960505"/>
  </r>
  <r>
    <x v="265"/>
    <s v="South"/>
    <s v="Tablet"/>
    <s v="Charlie"/>
    <n v="18"/>
    <n v="184"/>
    <x v="2"/>
    <n v="3312"/>
    <n v="2591.8754880000001"/>
    <n v="720.12451229999999"/>
    <n v="0.21742889864130435"/>
  </r>
  <r>
    <x v="50"/>
    <s v="South"/>
    <s v="Headphones"/>
    <s v="Bob"/>
    <n v="11"/>
    <n v="720"/>
    <x v="0"/>
    <n v="7920"/>
    <n v="6469.8479040000002"/>
    <n v="1450.152096"/>
    <n v="0.18310001212121213"/>
  </r>
  <r>
    <x v="266"/>
    <s v="North"/>
    <s v="Camera"/>
    <s v="Hannah"/>
    <n v="7"/>
    <n v="1154"/>
    <x v="2"/>
    <n v="8078"/>
    <n v="5752.764064"/>
    <n v="2325.235936"/>
    <n v="0.28784797425105224"/>
  </r>
  <r>
    <x v="265"/>
    <s v="East"/>
    <s v="Headphones"/>
    <s v="Alice"/>
    <n v="9"/>
    <n v="1864"/>
    <x v="0"/>
    <n v="16776"/>
    <n v="13012.061299999999"/>
    <n v="3763.9387000000002"/>
    <n v="0.22436449093943731"/>
  </r>
  <r>
    <x v="267"/>
    <s v="South"/>
    <s v="Headphones"/>
    <s v="Hannah"/>
    <n v="1"/>
    <n v="339"/>
    <x v="0"/>
    <n v="339"/>
    <n v="254.48410380000001"/>
    <n v="84.515896240000004"/>
    <n v="0.24930942843657819"/>
  </r>
  <r>
    <x v="268"/>
    <s v="West"/>
    <s v="Smartwatch"/>
    <s v="Grace"/>
    <n v="14"/>
    <n v="462"/>
    <x v="0"/>
    <n v="6468"/>
    <n v="4260.2421119999999"/>
    <n v="2207.7578880000001"/>
    <n v="0.34133548051948054"/>
  </r>
  <r>
    <x v="230"/>
    <s v="South"/>
    <s v="Headphones"/>
    <s v="David"/>
    <n v="6"/>
    <n v="921"/>
    <x v="0"/>
    <n v="5526"/>
    <n v="4525.8122169999997"/>
    <n v="1000.187783"/>
    <n v="0.18099670340209917"/>
  </r>
  <r>
    <x v="22"/>
    <s v="South"/>
    <s v="Monitor"/>
    <s v="Alice"/>
    <n v="7"/>
    <n v="1512"/>
    <x v="1"/>
    <n v="10584"/>
    <n v="8895.1736540000002"/>
    <n v="1688.8263460000001"/>
    <n v="0.15956409164777022"/>
  </r>
  <r>
    <x v="269"/>
    <s v="South"/>
    <s v="Camera"/>
    <s v="Eva"/>
    <n v="10"/>
    <n v="1776"/>
    <x v="2"/>
    <n v="17760"/>
    <n v="14112.76972"/>
    <n v="3647.2302800000002"/>
    <n v="0.20536206531531534"/>
  </r>
  <r>
    <x v="179"/>
    <s v="Unknown"/>
    <s v="Camera"/>
    <s v="Frank"/>
    <n v="7"/>
    <n v="767"/>
    <x v="2"/>
    <n v="5369"/>
    <n v="3743.0993319999998"/>
    <n v="1625.900668"/>
    <n v="0.3028311916558018"/>
  </r>
  <r>
    <x v="76"/>
    <s v="East"/>
    <s v="Laptop"/>
    <s v="Alice"/>
    <n v="2"/>
    <n v="1422"/>
    <x v="2"/>
    <n v="2844"/>
    <n v="2497.1393560000001"/>
    <n v="346.86064379999999"/>
    <n v="0.12196225168776371"/>
  </r>
  <r>
    <x v="20"/>
    <s v="West"/>
    <s v="Headphones"/>
    <s v="Alice"/>
    <n v="4"/>
    <n v="1980"/>
    <x v="0"/>
    <n v="7920"/>
    <n v="5833.9315299999998"/>
    <n v="2086.0684700000002"/>
    <n v="0.26339248358585859"/>
  </r>
  <r>
    <x v="270"/>
    <s v="West"/>
    <s v="Headphones"/>
    <s v="Hannah"/>
    <n v="1"/>
    <n v="198"/>
    <x v="0"/>
    <n v="198"/>
    <n v="143.0491365"/>
    <n v="54.950863519999999"/>
    <n v="0.27752961373737373"/>
  </r>
  <r>
    <x v="253"/>
    <s v="South"/>
    <s v="Tablet"/>
    <s v="Charlie"/>
    <n v="10"/>
    <n v="146"/>
    <x v="2"/>
    <n v="1460"/>
    <n v="1179.12889"/>
    <n v="280.87110969999998"/>
    <n v="0.19237747239726025"/>
  </r>
  <r>
    <x v="19"/>
    <s v="North"/>
    <s v="Tablet"/>
    <s v="Frank"/>
    <n v="19"/>
    <n v="938"/>
    <x v="2"/>
    <n v="17822"/>
    <n v="15216.05889"/>
    <n v="2605.9411150000001"/>
    <n v="0.1462204643137695"/>
  </r>
  <r>
    <x v="103"/>
    <s v="East"/>
    <s v="Smartwatch"/>
    <s v="David"/>
    <n v="15"/>
    <n v="521"/>
    <x v="0"/>
    <n v="7815"/>
    <n v="5524.991258"/>
    <n v="2290.008742"/>
    <n v="0.29302735022392834"/>
  </r>
  <r>
    <x v="271"/>
    <s v="North"/>
    <s v="Laptop"/>
    <s v="Alice"/>
    <n v="10"/>
    <n v="1603"/>
    <x v="2"/>
    <n v="16030"/>
    <n v="10736.69096"/>
    <n v="5293.3090389999998"/>
    <n v="0.33021266618839673"/>
  </r>
  <r>
    <x v="172"/>
    <s v="East"/>
    <s v="Laptop"/>
    <s v="Charlie"/>
    <n v="19"/>
    <n v="1702"/>
    <x v="2"/>
    <n v="32338"/>
    <n v="25480.660469999999"/>
    <n v="6857.3395309999996"/>
    <n v="0.21205206045519201"/>
  </r>
  <r>
    <x v="121"/>
    <s v="South"/>
    <s v="Camera"/>
    <s v="Hannah"/>
    <n v="12"/>
    <n v="161"/>
    <x v="2"/>
    <n v="1932"/>
    <n v="1693.136272"/>
    <n v="238.86372800000001"/>
    <n v="0.12363546997929607"/>
  </r>
  <r>
    <x v="117"/>
    <s v="East"/>
    <s v="Camera"/>
    <s v="Bob"/>
    <n v="16"/>
    <n v="1232"/>
    <x v="2"/>
    <n v="19712"/>
    <n v="12911.12363"/>
    <n v="6800.8763650000001"/>
    <n v="0.34501199091923701"/>
  </r>
  <r>
    <x v="143"/>
    <s v="South"/>
    <s v="Mobile"/>
    <s v="Frank"/>
    <n v="9"/>
    <n v="1802"/>
    <x v="2"/>
    <n v="16218"/>
    <n v="13637.8105"/>
    <n v="2580.1894969999998"/>
    <n v="0.15909418528795166"/>
  </r>
  <r>
    <x v="170"/>
    <s v="East"/>
    <s v="Smartwatch"/>
    <s v="Charlie"/>
    <n v="15"/>
    <n v="1672"/>
    <x v="0"/>
    <n v="25080"/>
    <n v="18633.992429999998"/>
    <n v="6446.0075660000002"/>
    <n v="0.2570178455342903"/>
  </r>
  <r>
    <x v="69"/>
    <s v="South"/>
    <s v="Headphones"/>
    <s v="Charlie"/>
    <n v="17"/>
    <n v="1242"/>
    <x v="0"/>
    <n v="21114"/>
    <n v="17732.6721"/>
    <n v="3381.3278970000001"/>
    <n v="0.16014624879227055"/>
  </r>
  <r>
    <x v="150"/>
    <s v="South"/>
    <s v="Printer"/>
    <s v="Grace"/>
    <n v="14"/>
    <n v="1109"/>
    <x v="1"/>
    <n v="15526"/>
    <n v="11670.309569999999"/>
    <n v="3855.6904330000002"/>
    <n v="0.24833765509467989"/>
  </r>
  <r>
    <x v="178"/>
    <s v="West"/>
    <s v="Smartwatch"/>
    <s v="Charlie"/>
    <n v="18"/>
    <n v="697"/>
    <x v="0"/>
    <n v="12546"/>
    <n v="8947.7862769999992"/>
    <n v="3598.2137229999998"/>
    <n v="0.28680166770285348"/>
  </r>
  <r>
    <x v="272"/>
    <s v="West"/>
    <s v="Camera"/>
    <s v="Alice"/>
    <n v="4"/>
    <n v="491"/>
    <x v="2"/>
    <n v="1964"/>
    <n v="1709.049602"/>
    <n v="254.95039800000001"/>
    <n v="0.1298118116089613"/>
  </r>
  <r>
    <x v="122"/>
    <s v="South"/>
    <s v="Smartwatch"/>
    <s v="Alice"/>
    <n v="18"/>
    <n v="1076"/>
    <x v="0"/>
    <n v="19368"/>
    <n v="13481.59065"/>
    <n v="5886.4093460000004"/>
    <n v="0.30392448089632385"/>
  </r>
  <r>
    <x v="241"/>
    <s v="North"/>
    <s v="Smartwatch"/>
    <s v="Hannah"/>
    <n v="7"/>
    <n v="1175"/>
    <x v="0"/>
    <n v="8225"/>
    <n v="6071.8960230000002"/>
    <n v="2153.1039770000002"/>
    <n v="0.26177555951367781"/>
  </r>
  <r>
    <x v="76"/>
    <s v="South"/>
    <s v="Camera"/>
    <s v="Bob"/>
    <n v="13"/>
    <n v="702"/>
    <x v="2"/>
    <n v="9126"/>
    <n v="6103.6530359999997"/>
    <n v="3022.3469639999998"/>
    <n v="0.33117981196581192"/>
  </r>
  <r>
    <x v="217"/>
    <s v="North"/>
    <s v="Monitor"/>
    <s v="Eva"/>
    <n v="15"/>
    <n v="1412"/>
    <x v="1"/>
    <n v="21180"/>
    <n v="13873.38373"/>
    <n v="7306.6162679999998"/>
    <n v="0.34497716090651559"/>
  </r>
  <r>
    <x v="273"/>
    <s v="North"/>
    <s v="Mobile"/>
    <s v="Eva"/>
    <n v="1"/>
    <n v="436"/>
    <x v="2"/>
    <n v="436"/>
    <n v="363.34803060000002"/>
    <n v="72.651969379999997"/>
    <n v="0.16663295729357797"/>
  </r>
  <r>
    <x v="132"/>
    <s v="South"/>
    <s v="Camera"/>
    <s v="Eva"/>
    <n v="11"/>
    <n v="909"/>
    <x v="2"/>
    <n v="9999"/>
    <n v="6601.3321509999996"/>
    <n v="3397.6678489999999"/>
    <n v="0.33980076497649764"/>
  </r>
  <r>
    <x v="213"/>
    <s v="North"/>
    <s v="Laptop"/>
    <s v="Hannah"/>
    <n v="10"/>
    <n v="1327"/>
    <x v="2"/>
    <n v="13270"/>
    <n v="11120.199640000001"/>
    <n v="2149.8003600000002"/>
    <n v="0.16200454860587793"/>
  </r>
  <r>
    <x v="98"/>
    <s v="West"/>
    <s v="Headphones"/>
    <s v="Grace"/>
    <n v="5"/>
    <n v="1361"/>
    <x v="0"/>
    <n v="6805"/>
    <n v="4959.2466109999996"/>
    <n v="1845.753389"/>
    <n v="0.27123488449669358"/>
  </r>
  <r>
    <x v="274"/>
    <s v="East"/>
    <s v="Camera"/>
    <s v="Hannah"/>
    <n v="16"/>
    <n v="1505"/>
    <x v="2"/>
    <n v="24080"/>
    <n v="21636.23198"/>
    <n v="2443.7680220000002"/>
    <n v="0.10148538297342194"/>
  </r>
  <r>
    <x v="76"/>
    <s v="South"/>
    <s v="Mobile"/>
    <s v="Frank"/>
    <n v="11"/>
    <n v="1790"/>
    <x v="2"/>
    <n v="19690"/>
    <n v="12979.695760000001"/>
    <n v="6710.3042429999996"/>
    <n v="0.34079757455561194"/>
  </r>
  <r>
    <x v="210"/>
    <s v="North"/>
    <s v="Tablet"/>
    <s v="Frank"/>
    <n v="6"/>
    <n v="851"/>
    <x v="2"/>
    <n v="5106"/>
    <n v="3206.0236890000001"/>
    <n v="1899.9763109999999"/>
    <n v="0.37210660223266745"/>
  </r>
  <r>
    <x v="124"/>
    <s v="South"/>
    <s v="Laptop"/>
    <s v="Bob"/>
    <n v="9"/>
    <n v="1259"/>
    <x v="2"/>
    <n v="11331"/>
    <n v="7055.0196340000002"/>
    <n v="4275.9803659999998"/>
    <n v="0.37737007907510367"/>
  </r>
  <r>
    <x v="275"/>
    <s v="West"/>
    <s v="Tablet"/>
    <s v="Frank"/>
    <n v="13"/>
    <n v="1530"/>
    <x v="2"/>
    <n v="19890"/>
    <n v="16918.93923"/>
    <n v="2971.0607660000001"/>
    <n v="0.14937459859225741"/>
  </r>
  <r>
    <x v="271"/>
    <s v="South"/>
    <s v="Printer"/>
    <s v="Eva"/>
    <n v="8"/>
    <n v="1631"/>
    <x v="1"/>
    <n v="13048"/>
    <n v="9542.4315920000008"/>
    <n v="3505.5684080000001"/>
    <n v="0.26866710668301658"/>
  </r>
  <r>
    <x v="11"/>
    <s v="South"/>
    <s v="Camera"/>
    <s v="Eva"/>
    <n v="14"/>
    <n v="1485"/>
    <x v="2"/>
    <n v="20790"/>
    <n v="12493.486569999999"/>
    <n v="8296.5134309999994"/>
    <n v="0.39906269509379505"/>
  </r>
  <r>
    <x v="137"/>
    <s v="North"/>
    <s v="Laptop"/>
    <s v="Hannah"/>
    <n v="1"/>
    <n v="1504"/>
    <x v="2"/>
    <n v="1504"/>
    <n v="1297.096839"/>
    <n v="206.9031612"/>
    <n v="0.13756859122340426"/>
  </r>
  <r>
    <x v="247"/>
    <s v="Unknown"/>
    <s v="Headphones"/>
    <s v="Charlie"/>
    <n v="17"/>
    <n v="980"/>
    <x v="0"/>
    <n v="16660"/>
    <n v="14378.851189999999"/>
    <n v="2281.148807"/>
    <n v="0.13692369789915967"/>
  </r>
  <r>
    <x v="46"/>
    <s v="East"/>
    <s v="Unknown"/>
    <s v="Frank"/>
    <n v="5"/>
    <n v="1699"/>
    <x v="2"/>
    <n v="8495"/>
    <n v="7152.1528939999998"/>
    <n v="1342.8471059999999"/>
    <n v="0.15807499776339023"/>
  </r>
  <r>
    <x v="127"/>
    <s v="East"/>
    <s v="Headphones"/>
    <s v="Hannah"/>
    <n v="2"/>
    <n v="734"/>
    <x v="0"/>
    <n v="1468"/>
    <n v="990.1594599"/>
    <n v="477.8405401"/>
    <n v="0.32550445510899184"/>
  </r>
  <r>
    <x v="52"/>
    <s v="North"/>
    <s v="Monitor"/>
    <s v="Alice"/>
    <n v="9"/>
    <n v="353"/>
    <x v="1"/>
    <n v="3177"/>
    <n v="2261.4706169999999"/>
    <n v="915.5293825"/>
    <n v="0.28817418397859618"/>
  </r>
  <r>
    <x v="206"/>
    <s v="South"/>
    <s v="Smartwatch"/>
    <s v="Alice"/>
    <n v="4"/>
    <n v="1600"/>
    <x v="0"/>
    <n v="6400"/>
    <n v="5270.2583519999998"/>
    <n v="1129.7416479999999"/>
    <n v="0.17652213249999998"/>
  </r>
  <r>
    <x v="116"/>
    <s v="North"/>
    <s v="Tablet"/>
    <s v="Charlie"/>
    <n v="17"/>
    <n v="1237"/>
    <x v="2"/>
    <n v="21029"/>
    <n v="15704.582060000001"/>
    <n v="5324.4179379999996"/>
    <n v="0.25319406239003278"/>
  </r>
  <r>
    <x v="276"/>
    <s v="North"/>
    <s v="Laptop"/>
    <s v="Charlie"/>
    <n v="17"/>
    <n v="119"/>
    <x v="2"/>
    <n v="2023"/>
    <n v="1307.1573490000001"/>
    <n v="715.84265059999996"/>
    <n v="0.35385202698961937"/>
  </r>
  <r>
    <x v="160"/>
    <s v="North"/>
    <s v="Headphones"/>
    <s v="Charlie"/>
    <n v="18"/>
    <n v="627"/>
    <x v="0"/>
    <n v="11286"/>
    <n v="7593.6663639999997"/>
    <n v="3692.3336359999998"/>
    <n v="0.32716052064504697"/>
  </r>
  <r>
    <x v="246"/>
    <s v="South"/>
    <s v="Mobile"/>
    <s v="Hannah"/>
    <n v="16"/>
    <n v="1268"/>
    <x v="2"/>
    <n v="20288"/>
    <n v="18092.36896"/>
    <n v="2195.6310440000002"/>
    <n v="0.10822313899842272"/>
  </r>
  <r>
    <x v="172"/>
    <s v="West"/>
    <s v="Headphones"/>
    <s v="Alice"/>
    <n v="8"/>
    <n v="1331"/>
    <x v="0"/>
    <n v="10648"/>
    <n v="6871.1963020000003"/>
    <n v="3776.8036980000002"/>
    <n v="0.3546960648009016"/>
  </r>
  <r>
    <x v="277"/>
    <s v="North"/>
    <s v="Mobile"/>
    <s v="Eva"/>
    <n v="11"/>
    <n v="1654"/>
    <x v="2"/>
    <n v="18194"/>
    <n v="14879.493990000001"/>
    <n v="3314.5060140000001"/>
    <n v="0.18217577300208859"/>
  </r>
  <r>
    <x v="47"/>
    <s v="South"/>
    <s v="Camera"/>
    <s v="Charlie"/>
    <n v="18"/>
    <n v="475"/>
    <x v="2"/>
    <n v="8550"/>
    <n v="6356.1169570000002"/>
    <n v="2193.8830429999998"/>
    <n v="0.25659450795321637"/>
  </r>
  <r>
    <x v="170"/>
    <s v="West"/>
    <s v="Laptop"/>
    <s v="Bob"/>
    <n v="10"/>
    <n v="1627"/>
    <x v="2"/>
    <n v="16270"/>
    <n v="13415.9247"/>
    <n v="2854.0753"/>
    <n v="0.17541950215119853"/>
  </r>
  <r>
    <x v="160"/>
    <s v="North"/>
    <s v="Headphones"/>
    <s v="Grace"/>
    <n v="13"/>
    <n v="265"/>
    <x v="0"/>
    <n v="3445"/>
    <n v="2750.2605349999999"/>
    <n v="694.73946530000001"/>
    <n v="0.20166602766328012"/>
  </r>
  <r>
    <x v="278"/>
    <s v="East"/>
    <s v="Printer"/>
    <s v="Hannah"/>
    <n v="17"/>
    <n v="1673"/>
    <x v="1"/>
    <n v="28441"/>
    <n v="20811.70622"/>
    <n v="7629.29378"/>
    <n v="0.26824984283253051"/>
  </r>
  <r>
    <x v="168"/>
    <s v="West"/>
    <s v="Headphones"/>
    <s v="Charlie"/>
    <n v="18"/>
    <n v="1304"/>
    <x v="0"/>
    <n v="23472"/>
    <n v="16575.298460000002"/>
    <n v="6896.7015369999999"/>
    <n v="0.29382675259884117"/>
  </r>
  <r>
    <x v="200"/>
    <s v="West"/>
    <s v="Printer"/>
    <s v="David"/>
    <n v="16"/>
    <n v="716"/>
    <x v="1"/>
    <n v="11456"/>
    <n v="7984.1716980000001"/>
    <n v="3471.8283019999999"/>
    <n v="0.30305763809357539"/>
  </r>
  <r>
    <x v="112"/>
    <s v="West"/>
    <s v="Laptop"/>
    <s v="Charlie"/>
    <n v="5"/>
    <n v="711"/>
    <x v="2"/>
    <n v="3555"/>
    <n v="2973.1582840000001"/>
    <n v="581.84171649999996"/>
    <n v="0.16366855597749647"/>
  </r>
  <r>
    <x v="227"/>
    <s v="West"/>
    <s v="Monitor"/>
    <s v="Alice"/>
    <n v="13"/>
    <n v="1725"/>
    <x v="1"/>
    <n v="22425"/>
    <n v="18028.644230000002"/>
    <n v="4396.3557709999995"/>
    <n v="0.19604708008918614"/>
  </r>
  <r>
    <x v="206"/>
    <s v="West"/>
    <s v="Headphones"/>
    <s v="unknown"/>
    <n v="18"/>
    <n v="1935"/>
    <x v="0"/>
    <n v="34830"/>
    <n v="26934.065159999998"/>
    <n v="7895.9348399999999"/>
    <n v="0.22669924892334195"/>
  </r>
  <r>
    <x v="7"/>
    <s v="West"/>
    <s v="Mobile"/>
    <s v="Charlie"/>
    <n v="17"/>
    <n v="1567"/>
    <x v="2"/>
    <n v="26639"/>
    <n v="18930.746029999998"/>
    <n v="7708.253968"/>
    <n v="0.28935973452456926"/>
  </r>
  <r>
    <x v="279"/>
    <s v="West"/>
    <s v="Headphones"/>
    <s v="Hannah"/>
    <n v="9"/>
    <n v="1455"/>
    <x v="0"/>
    <n v="13095"/>
    <n v="8662.6621140000007"/>
    <n v="4432.3378860000003"/>
    <n v="0.33847559266895766"/>
  </r>
  <r>
    <x v="88"/>
    <s v="North"/>
    <s v="Tablet"/>
    <s v="Frank"/>
    <n v="14"/>
    <n v="602"/>
    <x v="2"/>
    <n v="8428"/>
    <n v="6853.0254249999998"/>
    <n v="1574.974575"/>
    <n v="0.18687405968201234"/>
  </r>
  <r>
    <x v="8"/>
    <s v="East"/>
    <s v="Camera"/>
    <s v="David"/>
    <n v="17"/>
    <n v="1012"/>
    <x v="2"/>
    <n v="17204"/>
    <n v="10793.87163"/>
    <n v="6410.128369"/>
    <n v="0.37259523186468263"/>
  </r>
  <r>
    <x v="280"/>
    <s v="South"/>
    <s v="Smartwatch"/>
    <s v="Bob"/>
    <n v="4"/>
    <n v="178"/>
    <x v="0"/>
    <n v="712"/>
    <n v="634.50782589999994"/>
    <n v="77.492174090000006"/>
    <n v="0.10883732316011237"/>
  </r>
  <r>
    <x v="281"/>
    <s v="West"/>
    <s v="Mobile"/>
    <s v="Frank"/>
    <n v="18"/>
    <n v="684"/>
    <x v="2"/>
    <n v="12312"/>
    <n v="11002.3033"/>
    <n v="1309.6967030000001"/>
    <n v="0.10637562564977258"/>
  </r>
  <r>
    <x v="9"/>
    <s v="South"/>
    <s v="Tablet"/>
    <s v="Grace"/>
    <n v="15"/>
    <n v="787"/>
    <x v="2"/>
    <n v="11805"/>
    <n v="7544.1833939999997"/>
    <n v="4260.8166060000003"/>
    <n v="0.36093321524777638"/>
  </r>
  <r>
    <x v="282"/>
    <s v="North"/>
    <s v="Printer"/>
    <s v="Eva"/>
    <n v="11"/>
    <n v="495"/>
    <x v="1"/>
    <n v="5445"/>
    <n v="3436.77835"/>
    <n v="2008.22165"/>
    <n v="0.36881940312213041"/>
  </r>
  <r>
    <x v="242"/>
    <s v="West"/>
    <s v="Camera"/>
    <s v="Charlie"/>
    <n v="12"/>
    <n v="1731"/>
    <x v="2"/>
    <n v="20772"/>
    <n v="15035.08556"/>
    <n v="5736.914444"/>
    <n v="0.27618498189870982"/>
  </r>
  <r>
    <x v="247"/>
    <s v="East"/>
    <s v="Laptop"/>
    <s v="David"/>
    <n v="9"/>
    <n v="1980"/>
    <x v="2"/>
    <n v="17820"/>
    <n v="15843.850769999999"/>
    <n v="1976.149226"/>
    <n v="0.11089501829405163"/>
  </r>
  <r>
    <x v="83"/>
    <s v="South"/>
    <s v="Mobile"/>
    <s v="David"/>
    <n v="13"/>
    <n v="1226"/>
    <x v="2"/>
    <n v="15938"/>
    <n v="11476.846530000001"/>
    <n v="4461.1534659999998"/>
    <n v="0.2799067302045426"/>
  </r>
  <r>
    <x v="283"/>
    <s v="West"/>
    <s v="Smartwatch"/>
    <s v="Frank"/>
    <n v="15"/>
    <n v="501"/>
    <x v="0"/>
    <n v="7515"/>
    <n v="5329.1918530000003"/>
    <n v="2185.8081470000002"/>
    <n v="0.29085936753160346"/>
  </r>
  <r>
    <x v="24"/>
    <s v="North"/>
    <s v="Camera"/>
    <s v="Bob"/>
    <n v="15"/>
    <n v="1074"/>
    <x v="2"/>
    <n v="16110"/>
    <n v="13066.426589999999"/>
    <n v="3043.57341"/>
    <n v="0.18892448230912476"/>
  </r>
  <r>
    <x v="284"/>
    <s v="East"/>
    <s v="Printer"/>
    <s v="Alice"/>
    <n v="5"/>
    <n v="323"/>
    <x v="1"/>
    <n v="1615"/>
    <n v="1055.595284"/>
    <n v="559.40471590000004"/>
    <n v="0.34638062904024769"/>
  </r>
  <r>
    <x v="285"/>
    <s v="Unknown"/>
    <s v="Monitor"/>
    <s v="Charlie"/>
    <n v="19"/>
    <n v="617"/>
    <x v="1"/>
    <n v="11723"/>
    <n v="8311.5723589999998"/>
    <n v="3411.4276410000002"/>
    <n v="0.2910029549603344"/>
  </r>
  <r>
    <x v="208"/>
    <s v="South"/>
    <s v="Monitor"/>
    <s v="David"/>
    <n v="14"/>
    <n v="733"/>
    <x v="1"/>
    <n v="10262"/>
    <n v="7054.019104"/>
    <n v="3207.980896"/>
    <n v="0.31260776612746055"/>
  </r>
  <r>
    <x v="286"/>
    <s v="West"/>
    <s v="Smartwatch"/>
    <s v="Bob"/>
    <n v="17"/>
    <n v="335"/>
    <x v="0"/>
    <n v="5695"/>
    <n v="4444.7219029999997"/>
    <n v="1250.2780969999999"/>
    <n v="0.21953961316944687"/>
  </r>
  <r>
    <x v="260"/>
    <s v="East"/>
    <s v="Laptop"/>
    <s v="Eva"/>
    <n v="18"/>
    <n v="1550"/>
    <x v="2"/>
    <n v="27900"/>
    <n v="18102.24166"/>
    <n v="9797.7583419999992"/>
    <n v="0.35117413412186377"/>
  </r>
  <r>
    <x v="29"/>
    <s v="East"/>
    <s v="Laptop"/>
    <s v="David"/>
    <n v="3"/>
    <n v="215"/>
    <x v="2"/>
    <n v="645"/>
    <n v="493.17369300000001"/>
    <n v="151.82630700000001"/>
    <n v="0.23538962325581397"/>
  </r>
  <r>
    <x v="109"/>
    <s v="East"/>
    <s v="Printer"/>
    <s v="Bob"/>
    <n v="2"/>
    <n v="1286"/>
    <x v="1"/>
    <n v="2572"/>
    <n v="2204.8829489999998"/>
    <n v="367.11705119999999"/>
    <n v="0.14273602301710731"/>
  </r>
  <r>
    <x v="7"/>
    <s v="East"/>
    <s v="Mobile"/>
    <s v="Hannah"/>
    <n v="1"/>
    <n v="325"/>
    <x v="2"/>
    <n v="325"/>
    <n v="245.13162829999999"/>
    <n v="79.868371699999997"/>
    <n v="0.245748836"/>
  </r>
  <r>
    <x v="183"/>
    <s v="North"/>
    <s v="Printer"/>
    <s v="Alice"/>
    <n v="10"/>
    <n v="329"/>
    <x v="1"/>
    <n v="3290"/>
    <n v="2648.6111609999998"/>
    <n v="641.3888389"/>
    <n v="0.19495101486322189"/>
  </r>
  <r>
    <x v="106"/>
    <s v="East"/>
    <s v="Headphones"/>
    <s v="Alice"/>
    <n v="19"/>
    <n v="281"/>
    <x v="0"/>
    <n v="5339"/>
    <n v="3323.9247500000001"/>
    <n v="2015.0752500000001"/>
    <n v="0.37742559468065184"/>
  </r>
  <r>
    <x v="120"/>
    <s v="South"/>
    <s v="Laptop"/>
    <s v="David"/>
    <n v="17"/>
    <n v="1372"/>
    <x v="2"/>
    <n v="23324"/>
    <n v="17136.181840000001"/>
    <n v="6187.8181610000001"/>
    <n v="0.26529832623049221"/>
  </r>
  <r>
    <x v="141"/>
    <s v="South"/>
    <s v="Camera"/>
    <s v="Grace"/>
    <n v="12"/>
    <n v="1441"/>
    <x v="2"/>
    <n v="17292"/>
    <n v="10867.4678"/>
    <n v="6424.5322050000004"/>
    <n v="0.37153204979181126"/>
  </r>
  <r>
    <x v="276"/>
    <s v="North"/>
    <s v="Headphones"/>
    <s v="David"/>
    <n v="1"/>
    <n v="309"/>
    <x v="0"/>
    <n v="309"/>
    <n v="240.97009729999999"/>
    <n v="68.029902649999997"/>
    <n v="0.22016149724919093"/>
  </r>
  <r>
    <x v="85"/>
    <s v="South"/>
    <s v="Monitor"/>
    <s v="Frank"/>
    <n v="12"/>
    <n v="1779"/>
    <x v="1"/>
    <n v="21348"/>
    <n v="14608.784610000001"/>
    <n v="6739.2153850000004"/>
    <n v="0.31568368863593782"/>
  </r>
  <r>
    <x v="191"/>
    <s v="South"/>
    <s v="Monitor"/>
    <s v="Charlie"/>
    <n v="17"/>
    <n v="1515"/>
    <x v="1"/>
    <n v="25755"/>
    <n v="17672.559440000001"/>
    <n v="8082.4405569999999"/>
    <n v="0.31382025070860026"/>
  </r>
  <r>
    <x v="222"/>
    <s v="East"/>
    <s v="Tablet"/>
    <s v="Bob"/>
    <n v="3"/>
    <n v="1980"/>
    <x v="2"/>
    <n v="5940"/>
    <n v="3700.7983260000001"/>
    <n v="2239.2016739999999"/>
    <n v="0.37696997878787875"/>
  </r>
  <r>
    <x v="210"/>
    <s v="South"/>
    <s v="Smartwatch"/>
    <s v="David"/>
    <n v="11"/>
    <n v="195"/>
    <x v="0"/>
    <n v="2145"/>
    <n v="1486.638064"/>
    <n v="658.36193619999995"/>
    <n v="0.30692864158508154"/>
  </r>
  <r>
    <x v="236"/>
    <s v="North"/>
    <s v="Headphones"/>
    <s v="Charlie"/>
    <n v="17"/>
    <n v="993"/>
    <x v="0"/>
    <n v="16881"/>
    <n v="12694.56523"/>
    <n v="4186.4347719999996"/>
    <n v="0.24799684686926127"/>
  </r>
  <r>
    <x v="82"/>
    <s v="Unknown"/>
    <s v="Smartwatch"/>
    <s v="Frank"/>
    <n v="3"/>
    <n v="-50"/>
    <x v="0"/>
    <n v="-150"/>
    <n v="-116.3097046"/>
    <n v="-33.69029536"/>
    <n v="0.22460196906666666"/>
  </r>
  <r>
    <x v="76"/>
    <s v="West"/>
    <s v="Printer"/>
    <s v="Hannah"/>
    <n v="8"/>
    <n v="855"/>
    <x v="1"/>
    <n v="6840"/>
    <n v="4240.7977110000002"/>
    <n v="2599.2022889999998"/>
    <n v="0.38000033464912281"/>
  </r>
  <r>
    <x v="80"/>
    <s v="East"/>
    <s v="Headphones"/>
    <s v="Hannah"/>
    <n v="4"/>
    <n v="1209"/>
    <x v="0"/>
    <n v="4836"/>
    <n v="3846.7369870000002"/>
    <n v="989.26301339999998"/>
    <n v="0.20456224429280395"/>
  </r>
  <r>
    <x v="287"/>
    <s v="North"/>
    <s v="Printer"/>
    <s v="Charlie"/>
    <n v="7"/>
    <n v="514"/>
    <x v="1"/>
    <n v="3598"/>
    <n v="2686.4924959999998"/>
    <n v="911.50750379999999"/>
    <n v="0.25333727176209003"/>
  </r>
  <r>
    <x v="288"/>
    <s v="East"/>
    <s v="Tablet"/>
    <s v="David"/>
    <n v="14"/>
    <n v="493"/>
    <x v="2"/>
    <n v="6902"/>
    <n v="5252.9217209999997"/>
    <n v="1649.0782790000001"/>
    <n v="0.23892759765285426"/>
  </r>
  <r>
    <x v="289"/>
    <s v="East"/>
    <s v="Laptop"/>
    <s v="Alice"/>
    <n v="14"/>
    <n v="795"/>
    <x v="2"/>
    <n v="11130"/>
    <n v="9458.7080939999996"/>
    <n v="1671.2919059999999"/>
    <n v="0.15016099784366577"/>
  </r>
  <r>
    <x v="68"/>
    <s v="North"/>
    <s v="Monitor"/>
    <s v="Bob"/>
    <n v="4"/>
    <n v="1756"/>
    <x v="1"/>
    <n v="7024"/>
    <n v="4935.5395660000004"/>
    <n v="2088.4604340000001"/>
    <n v="0.29733206634396359"/>
  </r>
  <r>
    <x v="239"/>
    <s v="East"/>
    <s v="Tablet"/>
    <s v="Bob"/>
    <n v="16"/>
    <n v="943"/>
    <x v="2"/>
    <n v="15088"/>
    <n v="9840.6249499999994"/>
    <n v="5247.3750499999996"/>
    <n v="0.34778466662248142"/>
  </r>
  <r>
    <x v="33"/>
    <s v="North"/>
    <s v="Monitor"/>
    <s v="Hannah"/>
    <n v="1"/>
    <n v="1624"/>
    <x v="1"/>
    <n v="1624"/>
    <n v="1243.2419179999999"/>
    <n v="380.75808239999998"/>
    <n v="0.23445694729064037"/>
  </r>
  <r>
    <x v="290"/>
    <s v="North"/>
    <s v="Laptop"/>
    <s v="Hannah"/>
    <n v="17"/>
    <n v="703"/>
    <x v="2"/>
    <n v="11951"/>
    <n v="10558.78708"/>
    <n v="1392.2129190000001"/>
    <n v="0.11649342473433186"/>
  </r>
  <r>
    <x v="40"/>
    <s v="West"/>
    <s v="Printer"/>
    <s v="Alice"/>
    <n v="10"/>
    <n v="681"/>
    <x v="1"/>
    <n v="6810"/>
    <n v="5144.0076319999998"/>
    <n v="1665.9923679999999"/>
    <n v="0.24463911424375917"/>
  </r>
  <r>
    <x v="291"/>
    <s v="South"/>
    <s v="Laptop"/>
    <s v="Grace"/>
    <n v="16"/>
    <n v="232"/>
    <x v="2"/>
    <n v="3712"/>
    <n v="3153.617397"/>
    <n v="558.38260290000005"/>
    <n v="0.15042634776400862"/>
  </r>
  <r>
    <x v="64"/>
    <s v="South"/>
    <s v="Monitor"/>
    <s v="David"/>
    <n v="16"/>
    <n v="890"/>
    <x v="1"/>
    <n v="14240"/>
    <n v="11778.040940000001"/>
    <n v="2461.9590629999998"/>
    <n v="0.17289038363764042"/>
  </r>
  <r>
    <x v="111"/>
    <s v="East"/>
    <s v="Monitor"/>
    <s v="Hannah"/>
    <n v="8"/>
    <n v="748"/>
    <x v="1"/>
    <n v="5984"/>
    <n v="4520.9074289999999"/>
    <n v="1463.0925709999999"/>
    <n v="0.24450076387032085"/>
  </r>
  <r>
    <x v="275"/>
    <s v="East"/>
    <s v="Smartwatch"/>
    <s v="Hannah"/>
    <n v="7"/>
    <n v="1437"/>
    <x v="0"/>
    <n v="10059"/>
    <n v="7989.5260529999996"/>
    <n v="2069.473947"/>
    <n v="0.20573356665672532"/>
  </r>
  <r>
    <x v="168"/>
    <s v="West"/>
    <s v="Camera"/>
    <s v="Hannah"/>
    <n v="6"/>
    <n v="1822"/>
    <x v="2"/>
    <n v="10932"/>
    <n v="7892.9483319999999"/>
    <n v="3039.0516680000001"/>
    <n v="0.27799594474935968"/>
  </r>
  <r>
    <x v="151"/>
    <s v="West"/>
    <s v="Tablet"/>
    <s v="Bob"/>
    <n v="16"/>
    <n v="320"/>
    <x v="2"/>
    <n v="5120"/>
    <n v="3887.045666"/>
    <n v="1232.954334"/>
    <n v="0.24081139335937501"/>
  </r>
  <r>
    <x v="220"/>
    <s v="West"/>
    <s v="Headphones"/>
    <s v="David"/>
    <n v="16"/>
    <n v="1075"/>
    <x v="0"/>
    <n v="17200"/>
    <n v="12937.594499999999"/>
    <n v="4262.405503"/>
    <n v="0.24781427343023255"/>
  </r>
  <r>
    <x v="286"/>
    <s v="North"/>
    <s v="Monitor"/>
    <s v="Frank"/>
    <n v="7"/>
    <n v="1561"/>
    <x v="1"/>
    <n v="10927"/>
    <n v="8880.7346809999999"/>
    <n v="2046.2653190000001"/>
    <n v="0.18726689109545164"/>
  </r>
  <r>
    <x v="45"/>
    <s v="West"/>
    <s v="Tablet"/>
    <s v="David"/>
    <n v="9"/>
    <n v="1169"/>
    <x v="2"/>
    <n v="10521"/>
    <n v="7606.6240379999999"/>
    <n v="2914.3759620000001"/>
    <n v="0.27700560422013115"/>
  </r>
  <r>
    <x v="151"/>
    <s v="East"/>
    <s v="Laptop"/>
    <s v="Alice"/>
    <n v="11"/>
    <n v="1315"/>
    <x v="2"/>
    <n v="14465"/>
    <n v="12101.60497"/>
    <n v="2363.3950260000001"/>
    <n v="0.16338714317317665"/>
  </r>
  <r>
    <x v="207"/>
    <s v="West"/>
    <s v="Smartwatch"/>
    <s v="Grace"/>
    <n v="14"/>
    <n v="1643"/>
    <x v="0"/>
    <n v="23002"/>
    <n v="18527.09663"/>
    <n v="4474.9033650000001"/>
    <n v="0.19454409899139205"/>
  </r>
  <r>
    <x v="165"/>
    <s v="North"/>
    <s v="Mobile"/>
    <s v="Hannah"/>
    <n v="7"/>
    <n v="1502"/>
    <x v="2"/>
    <n v="10514"/>
    <n v="9305.2794030000005"/>
    <n v="1208.720597"/>
    <n v="0.11496296338215713"/>
  </r>
  <r>
    <x v="194"/>
    <s v="North"/>
    <s v="Mobile"/>
    <s v="Hannah"/>
    <n v="1"/>
    <n v="887"/>
    <x v="2"/>
    <n v="887"/>
    <n v="646.2813744"/>
    <n v="240.7186256"/>
    <n v="0.27138514723788049"/>
  </r>
  <r>
    <x v="273"/>
    <s v="East"/>
    <s v="Headphones"/>
    <s v="David"/>
    <n v="13"/>
    <n v="790"/>
    <x v="0"/>
    <n v="10270"/>
    <n v="6402.9516290000001"/>
    <n v="3867.0483709999999"/>
    <n v="0.3765383029211295"/>
  </r>
  <r>
    <x v="292"/>
    <s v="West"/>
    <s v="Smartwatch"/>
    <s v="Grace"/>
    <n v="3"/>
    <n v="1457"/>
    <x v="0"/>
    <n v="4371"/>
    <n v="2782.0789770000001"/>
    <n v="1588.9210230000001"/>
    <n v="0.36351430404941665"/>
  </r>
  <r>
    <x v="293"/>
    <s v="West"/>
    <s v="Printer"/>
    <s v="Hannah"/>
    <n v="4"/>
    <n v="138"/>
    <x v="1"/>
    <n v="552"/>
    <n v="459.26171640000001"/>
    <n v="92.73828365"/>
    <n v="0.16800413704710146"/>
  </r>
  <r>
    <x v="69"/>
    <s v="North"/>
    <s v="Headphones"/>
    <s v="Grace"/>
    <n v="11"/>
    <n v="1416"/>
    <x v="0"/>
    <n v="15576"/>
    <n v="9662.2162310000003"/>
    <n v="5913.7837689999997"/>
    <n v="0.37967281516435541"/>
  </r>
  <r>
    <x v="60"/>
    <s v="West"/>
    <s v="Printer"/>
    <s v="Frank"/>
    <n v="2"/>
    <n v="789"/>
    <x v="1"/>
    <n v="1578"/>
    <n v="1376.564897"/>
    <n v="201.435103"/>
    <n v="0.12765215652724968"/>
  </r>
  <r>
    <x v="294"/>
    <s v="West"/>
    <s v="Headphones"/>
    <s v="Eva"/>
    <n v="14"/>
    <n v="261"/>
    <x v="0"/>
    <n v="3654"/>
    <n v="2501.1448519999999"/>
    <n v="1152.8551480000001"/>
    <n v="0.31550496661193217"/>
  </r>
  <r>
    <x v="240"/>
    <s v="West"/>
    <s v="Mobile"/>
    <s v="Alice"/>
    <n v="12"/>
    <n v="1454"/>
    <x v="2"/>
    <n v="17448"/>
    <n v="15173.892449999999"/>
    <n v="2274.1075500000002"/>
    <n v="0.13033628782668502"/>
  </r>
  <r>
    <x v="130"/>
    <s v="South"/>
    <s v="Headphones"/>
    <s v="Grace"/>
    <n v="17"/>
    <n v="1227"/>
    <x v="0"/>
    <n v="20859"/>
    <n v="17355.773809999999"/>
    <n v="3503.2261920000001"/>
    <n v="0.16794794534733209"/>
  </r>
  <r>
    <x v="207"/>
    <s v="East"/>
    <s v="Mobile"/>
    <s v="Bob"/>
    <n v="12"/>
    <n v="260"/>
    <x v="2"/>
    <n v="3120"/>
    <n v="2687.4441700000002"/>
    <n v="432.55583000000001"/>
    <n v="0.13863968910256411"/>
  </r>
  <r>
    <x v="62"/>
    <s v="South"/>
    <s v="Monitor"/>
    <s v="Charlie"/>
    <n v="12"/>
    <n v="1922"/>
    <x v="1"/>
    <n v="23064"/>
    <n v="15319.38344"/>
    <n v="7744.6165650000003"/>
    <n v="0.33578809248178981"/>
  </r>
  <r>
    <x v="220"/>
    <s v="East"/>
    <s v="Laptop"/>
    <s v="Bob"/>
    <n v="1"/>
    <n v="1758"/>
    <x v="2"/>
    <n v="1758"/>
    <n v="1368.96875"/>
    <n v="389.03125030000001"/>
    <n v="0.22129195125142206"/>
  </r>
  <r>
    <x v="123"/>
    <s v="North"/>
    <s v="Printer"/>
    <s v="Hannah"/>
    <n v="13"/>
    <n v="1177"/>
    <x v="1"/>
    <n v="15301"/>
    <n v="9610.2021929999992"/>
    <n v="5690.7978069999999"/>
    <n v="0.3719232603751389"/>
  </r>
  <r>
    <x v="220"/>
    <s v="West"/>
    <s v="Smartwatch"/>
    <s v="Frank"/>
    <n v="14"/>
    <n v="1157"/>
    <x v="0"/>
    <n v="16198"/>
    <n v="10701.76316"/>
    <n v="5496.2368379999998"/>
    <n v="0.33931576972465738"/>
  </r>
  <r>
    <x v="194"/>
    <s v="East"/>
    <s v="Monitor"/>
    <s v="Frank"/>
    <n v="2"/>
    <n v="341"/>
    <x v="1"/>
    <n v="682"/>
    <n v="472.60599569999999"/>
    <n v="209.39400430000001"/>
    <n v="0.30702933181818182"/>
  </r>
  <r>
    <x v="295"/>
    <s v="South"/>
    <s v="Monitor"/>
    <s v="Bob"/>
    <n v="12"/>
    <n v="1066"/>
    <x v="1"/>
    <n v="12792"/>
    <n v="10518.142400000001"/>
    <n v="2273.8575989999999"/>
    <n v="0.17775622256097562"/>
  </r>
  <r>
    <x v="296"/>
    <s v="West"/>
    <s v="Headphones"/>
    <s v="Alice"/>
    <n v="16"/>
    <n v="989"/>
    <x v="0"/>
    <n v="15824"/>
    <n v="9611.7241020000001"/>
    <n v="6212.2758979999999"/>
    <n v="0.3925856861729019"/>
  </r>
  <r>
    <x v="297"/>
    <s v="North"/>
    <s v="Mobile"/>
    <s v="Bob"/>
    <n v="4"/>
    <n v="212"/>
    <x v="2"/>
    <n v="848"/>
    <n v="738.55303679999997"/>
    <n v="109.4469632"/>
    <n v="0.12906481509433962"/>
  </r>
  <r>
    <x v="71"/>
    <s v="East"/>
    <s v="Tablet"/>
    <s v="David"/>
    <n v="8"/>
    <n v="1113"/>
    <x v="2"/>
    <n v="8904"/>
    <n v="5531.5303459999996"/>
    <n v="3372.469654"/>
    <n v="0.37875894586702608"/>
  </r>
  <r>
    <x v="154"/>
    <s v="East"/>
    <s v="Printer"/>
    <s v="Hannah"/>
    <n v="2"/>
    <n v="417"/>
    <x v="1"/>
    <n v="834"/>
    <n v="594.59784690000004"/>
    <n v="239.40215309999999"/>
    <n v="0.28705294136690646"/>
  </r>
  <r>
    <x v="68"/>
    <s v="East"/>
    <s v="Monitor"/>
    <s v="Hannah"/>
    <n v="10"/>
    <n v="122"/>
    <x v="1"/>
    <n v="1220"/>
    <n v="761.67880400000001"/>
    <n v="458.32119599999999"/>
    <n v="0.37567311147540983"/>
  </r>
  <r>
    <x v="298"/>
    <s v="West"/>
    <s v="Headphones"/>
    <s v="Bob"/>
    <n v="9"/>
    <n v="1681"/>
    <x v="0"/>
    <n v="15129"/>
    <n v="12567.514349999999"/>
    <n v="2561.485651"/>
    <n v="0.16930964710159296"/>
  </r>
  <r>
    <x v="270"/>
    <s v="South"/>
    <s v="Camera"/>
    <s v="Charlie"/>
    <n v="15"/>
    <n v="923"/>
    <x v="2"/>
    <n v="13845"/>
    <n v="8893.9517419999993"/>
    <n v="4951.0482579999998"/>
    <n v="0.35760550798122065"/>
  </r>
  <r>
    <x v="103"/>
    <s v="South"/>
    <s v="Laptop"/>
    <s v="Charlie"/>
    <n v="13"/>
    <n v="1770"/>
    <x v="2"/>
    <n v="23010"/>
    <n v="19913.47695"/>
    <n v="3096.523048"/>
    <n v="0.13457292690134723"/>
  </r>
  <r>
    <x v="164"/>
    <s v="East"/>
    <s v="Laptop"/>
    <s v="Hannah"/>
    <n v="17"/>
    <n v="1241"/>
    <x v="2"/>
    <n v="21097"/>
    <n v="16014.027980000001"/>
    <n v="5082.972025"/>
    <n v="0.2409334040384889"/>
  </r>
  <r>
    <x v="221"/>
    <s v="North"/>
    <s v="Tablet"/>
    <s v="Eva"/>
    <n v="16"/>
    <n v="800"/>
    <x v="2"/>
    <n v="12800"/>
    <n v="11322.135630000001"/>
    <n v="1477.8643729999999"/>
    <n v="0.11545815414062499"/>
  </r>
  <r>
    <x v="233"/>
    <s v="North"/>
    <s v="Mobile"/>
    <s v="Charlie"/>
    <n v="2"/>
    <n v="1766"/>
    <x v="2"/>
    <n v="3532"/>
    <n v="2426.8664229999999"/>
    <n v="1105.1335770000001"/>
    <n v="0.31289172621744055"/>
  </r>
  <r>
    <x v="137"/>
    <s v="South"/>
    <s v="Headphones"/>
    <s v="Bob"/>
    <n v="14"/>
    <n v="1118"/>
    <x v="0"/>
    <n v="15652"/>
    <n v="11524.486919999999"/>
    <n v="4127.5130769999996"/>
    <n v="0.26370515442116021"/>
  </r>
  <r>
    <x v="229"/>
    <s v="North"/>
    <s v="Printer"/>
    <s v="Charlie"/>
    <n v="3"/>
    <n v="1335"/>
    <x v="1"/>
    <n v="4005"/>
    <n v="3237.137725"/>
    <n v="767.86227480000002"/>
    <n v="0.19172591131086142"/>
  </r>
  <r>
    <x v="44"/>
    <s v="South"/>
    <s v="Mobile"/>
    <s v="Hannah"/>
    <n v="12"/>
    <n v="1541"/>
    <x v="2"/>
    <n v="18492"/>
    <n v="15710.32229"/>
    <n v="2781.6777069999998"/>
    <n v="0.15042600621890545"/>
  </r>
  <r>
    <x v="224"/>
    <s v="East"/>
    <s v="Laptop"/>
    <s v="Alice"/>
    <n v="8"/>
    <n v="1236"/>
    <x v="2"/>
    <n v="9888"/>
    <n v="7182.7136650000002"/>
    <n v="2705.2863349999998"/>
    <n v="0.27359287368527507"/>
  </r>
  <r>
    <x v="292"/>
    <s v="South"/>
    <s v="Mobile"/>
    <s v="Grace"/>
    <n v="2"/>
    <n v="1167"/>
    <x v="2"/>
    <n v="2334"/>
    <n v="2025.2812630000001"/>
    <n v="308.71873670000002"/>
    <n v="0.13227023851756642"/>
  </r>
  <r>
    <x v="138"/>
    <s v="East"/>
    <s v="Mobile"/>
    <s v="David"/>
    <n v="14"/>
    <n v="975"/>
    <x v="2"/>
    <n v="13650"/>
    <n v="11092.063920000001"/>
    <n v="2557.936076"/>
    <n v="0.18739458432234432"/>
  </r>
  <r>
    <x v="263"/>
    <s v="South"/>
    <s v="Smartwatch"/>
    <s v="Eva"/>
    <n v="19"/>
    <n v="1908"/>
    <x v="0"/>
    <n v="36252"/>
    <n v="22853.284189999998"/>
    <n v="13398.71581"/>
    <n v="0.36959935479421824"/>
  </r>
  <r>
    <x v="261"/>
    <s v="South"/>
    <s v="Tablet"/>
    <s v="unknown"/>
    <n v="2"/>
    <n v="926"/>
    <x v="2"/>
    <n v="1852"/>
    <n v="1326.0308279999999"/>
    <n v="525.9691722"/>
    <n v="0.28400063293736499"/>
  </r>
  <r>
    <x v="150"/>
    <s v="East"/>
    <s v="Tablet"/>
    <s v="Bob"/>
    <n v="12"/>
    <n v="1517"/>
    <x v="2"/>
    <n v="18204"/>
    <n v="15729.433569999999"/>
    <n v="2474.5664320000001"/>
    <n v="0.13593531267853221"/>
  </r>
  <r>
    <x v="245"/>
    <s v="North"/>
    <s v="Smartwatch"/>
    <s v="Grace"/>
    <n v="14"/>
    <n v="1990"/>
    <x v="0"/>
    <n v="27860"/>
    <n v="24911.302100000001"/>
    <n v="2948.6979040000001"/>
    <n v="0.10583983862167984"/>
  </r>
  <r>
    <x v="299"/>
    <s v="South"/>
    <s v="Smartwatch"/>
    <s v="Bob"/>
    <n v="6"/>
    <n v="951"/>
    <x v="0"/>
    <n v="5706"/>
    <n v="4095.9947950000001"/>
    <n v="1610.0052049999999"/>
    <n v="0.28216004293725899"/>
  </r>
  <r>
    <x v="300"/>
    <s v="East"/>
    <s v="Monitor"/>
    <s v="Grace"/>
    <n v="13"/>
    <n v="611"/>
    <x v="1"/>
    <n v="7943"/>
    <n v="6878.0416109999996"/>
    <n v="1064.9583889999999"/>
    <n v="0.13407508359561876"/>
  </r>
  <r>
    <x v="301"/>
    <s v="South"/>
    <s v="Monitor"/>
    <s v="Grace"/>
    <n v="4"/>
    <n v="144"/>
    <x v="1"/>
    <n v="576"/>
    <n v="433.6682831"/>
    <n v="142.3317169"/>
    <n v="0.24710367517361112"/>
  </r>
  <r>
    <x v="7"/>
    <s v="West"/>
    <s v="Headphones"/>
    <s v="Bob"/>
    <n v="18"/>
    <n v="1231"/>
    <x v="0"/>
    <n v="22158"/>
    <n v="18061.085760000002"/>
    <n v="4096.9142389999997"/>
    <n v="0.18489548871739325"/>
  </r>
  <r>
    <x v="293"/>
    <s v="East"/>
    <s v="Printer"/>
    <s v="David"/>
    <n v="12"/>
    <n v="318"/>
    <x v="1"/>
    <n v="3816"/>
    <n v="2341.5412040000001"/>
    <n v="1474.4587959999999"/>
    <n v="0.386388573375262"/>
  </r>
  <r>
    <x v="270"/>
    <s v="North"/>
    <s v="Printer"/>
    <s v="David"/>
    <n v="19"/>
    <n v="542"/>
    <x v="1"/>
    <n v="10298"/>
    <n v="7900.5596059999998"/>
    <n v="2397.4403940000002"/>
    <n v="0.23280640842882114"/>
  </r>
  <r>
    <x v="265"/>
    <s v="North"/>
    <s v="Headphones"/>
    <s v="Grace"/>
    <n v="8"/>
    <n v="1953"/>
    <x v="0"/>
    <n v="15624"/>
    <n v="9703.2630270000009"/>
    <n v="5920.736973"/>
    <n v="0.37895141916282643"/>
  </r>
  <r>
    <x v="85"/>
    <s v="North"/>
    <s v="Tablet"/>
    <s v="David"/>
    <n v="7"/>
    <n v="414"/>
    <x v="2"/>
    <n v="2898"/>
    <n v="1972.336452"/>
    <n v="925.66354809999996"/>
    <n v="0.31941461287094547"/>
  </r>
  <r>
    <x v="227"/>
    <s v="North"/>
    <s v="Tablet"/>
    <s v="Grace"/>
    <n v="16"/>
    <n v="276"/>
    <x v="2"/>
    <n v="4416"/>
    <n v="3400.5156189999998"/>
    <n v="1015.484381"/>
    <n v="0.22995570221920289"/>
  </r>
  <r>
    <x v="43"/>
    <s v="South"/>
    <s v="Laptop"/>
    <s v="Hannah"/>
    <n v="19"/>
    <n v="327"/>
    <x v="2"/>
    <n v="6213"/>
    <n v="5232.2725440000004"/>
    <n v="980.72745580000003"/>
    <n v="0.15785087007886689"/>
  </r>
  <r>
    <x v="259"/>
    <s v="South"/>
    <s v="Laptop"/>
    <s v="Grace"/>
    <n v="6"/>
    <n v="1826"/>
    <x v="2"/>
    <n v="10956"/>
    <n v="8417.1452279999994"/>
    <n v="2538.8547720000001"/>
    <n v="0.2317319069003286"/>
  </r>
  <r>
    <x v="92"/>
    <s v="North"/>
    <s v="Printer"/>
    <s v="Hannah"/>
    <n v="-5"/>
    <n v="1795"/>
    <x v="1"/>
    <n v="-8975"/>
    <n v="-7905.6957240000002"/>
    <n v="-1069.3042760000001"/>
    <n v="0.11914253771587745"/>
  </r>
  <r>
    <x v="148"/>
    <s v="North"/>
    <s v="Headphones"/>
    <s v="unknown"/>
    <n v="5"/>
    <n v="366"/>
    <x v="0"/>
    <n v="1830"/>
    <n v="1542.8725469999999"/>
    <n v="287.12745330000001"/>
    <n v="0.15690024770491803"/>
  </r>
  <r>
    <x v="253"/>
    <s v="North"/>
    <s v="Camera"/>
    <s v="Frank"/>
    <n v="16"/>
    <n v="969"/>
    <x v="2"/>
    <n v="15504"/>
    <n v="10029.104170000001"/>
    <n v="5474.8958320000002"/>
    <n v="0.35312795614035086"/>
  </r>
  <r>
    <x v="302"/>
    <s v="North"/>
    <s v="Camera"/>
    <s v="Bob"/>
    <n v="5"/>
    <n v="1502"/>
    <x v="2"/>
    <n v="7510"/>
    <n v="6012.0976680000003"/>
    <n v="1497.9023319999999"/>
    <n v="0.19945437177097203"/>
  </r>
  <r>
    <x v="19"/>
    <s v="North"/>
    <s v="Headphones"/>
    <s v="Frank"/>
    <n v="11"/>
    <n v="588"/>
    <x v="0"/>
    <n v="6468"/>
    <n v="5701.6830639999998"/>
    <n v="766.31693629999995"/>
    <n v="0.11847819052257266"/>
  </r>
  <r>
    <x v="236"/>
    <s v="West"/>
    <s v="Laptop"/>
    <s v="Charlie"/>
    <n v="15"/>
    <n v="801"/>
    <x v="2"/>
    <n v="12015"/>
    <n v="10769.22185"/>
    <n v="1245.778151"/>
    <n v="0.10368523936745734"/>
  </r>
  <r>
    <x v="93"/>
    <s v="West"/>
    <s v="Printer"/>
    <s v="Bob"/>
    <n v="3"/>
    <n v="786"/>
    <x v="1"/>
    <n v="2358"/>
    <n v="1954.6780859999999"/>
    <n v="403.3219138"/>
    <n v="0.17104406861747243"/>
  </r>
  <r>
    <x v="303"/>
    <s v="North"/>
    <s v="Printer"/>
    <s v="unknown"/>
    <n v="5"/>
    <n v="1413"/>
    <x v="1"/>
    <n v="7065"/>
    <n v="5455.1040430000003"/>
    <n v="1609.895957"/>
    <n v="0.22786920835102617"/>
  </r>
  <r>
    <x v="148"/>
    <s v="East"/>
    <s v="Laptop"/>
    <s v="Alice"/>
    <n v="5"/>
    <n v="1095"/>
    <x v="2"/>
    <n v="5475"/>
    <n v="4527.7314150000002"/>
    <n v="947.26858460000005"/>
    <n v="0.17301709307762558"/>
  </r>
  <r>
    <x v="159"/>
    <s v="North"/>
    <s v="Camera"/>
    <s v="David"/>
    <n v="9"/>
    <n v="456"/>
    <x v="2"/>
    <n v="4104"/>
    <n v="2798.8086800000001"/>
    <n v="1305.1913199999999"/>
    <n v="0.31802907407407405"/>
  </r>
  <r>
    <x v="197"/>
    <s v="West"/>
    <s v="Mobile"/>
    <s v="Alice"/>
    <n v="15"/>
    <n v="1780"/>
    <x v="2"/>
    <n v="26700"/>
    <n v="18291.660250000001"/>
    <n v="8408.3397519999999"/>
    <n v="0.314919091835206"/>
  </r>
  <r>
    <x v="51"/>
    <s v="East"/>
    <s v="Mobile"/>
    <s v="David"/>
    <n v="3"/>
    <n v="1867"/>
    <x v="2"/>
    <n v="5601"/>
    <n v="4460.1032059999998"/>
    <n v="1140.896794"/>
    <n v="0.20369519621496163"/>
  </r>
  <r>
    <x v="24"/>
    <s v="East"/>
    <s v="Laptop"/>
    <s v="Frank"/>
    <n v="6"/>
    <n v="971"/>
    <x v="2"/>
    <n v="5826"/>
    <n v="5019.3942200000001"/>
    <n v="806.60577960000001"/>
    <n v="0.13844932708547888"/>
  </r>
  <r>
    <x v="304"/>
    <s v="North"/>
    <s v="Mobile"/>
    <s v="Eva"/>
    <n v="17"/>
    <n v="303"/>
    <x v="2"/>
    <n v="5151"/>
    <n v="4589.2466039999999"/>
    <n v="561.75339640000004"/>
    <n v="0.10905715325179578"/>
  </r>
  <r>
    <x v="202"/>
    <s v="West"/>
    <s v="Smartwatch"/>
    <s v="Frank"/>
    <n v="8"/>
    <n v="1336"/>
    <x v="0"/>
    <n v="10688"/>
    <n v="7507.2552640000004"/>
    <n v="3180.7447360000001"/>
    <n v="0.29759961976047905"/>
  </r>
  <r>
    <x v="305"/>
    <s v="West"/>
    <s v="Headphones"/>
    <s v="Eva"/>
    <n v="11"/>
    <n v="651"/>
    <x v="0"/>
    <n v="7161"/>
    <n v="6007.8361489999998"/>
    <n v="1153.163851"/>
    <n v="0.16103391300097752"/>
  </r>
  <r>
    <x v="295"/>
    <s v="East"/>
    <s v="Headphones"/>
    <s v="Alice"/>
    <n v="6"/>
    <n v="1910"/>
    <x v="0"/>
    <n v="11460"/>
    <n v="9803.5629090000002"/>
    <n v="1656.437091"/>
    <n v="0.14454075837696334"/>
  </r>
  <r>
    <x v="294"/>
    <s v="South"/>
    <s v="Tablet"/>
    <s v="Frank"/>
    <n v="10"/>
    <n v="693"/>
    <x v="2"/>
    <n v="6930"/>
    <n v="4880.6435229999997"/>
    <n v="2049.3564769999998"/>
    <n v="0.29572243535353532"/>
  </r>
  <r>
    <x v="132"/>
    <s v="South"/>
    <s v="Monitor"/>
    <s v="Eva"/>
    <n v="3"/>
    <n v="280"/>
    <x v="1"/>
    <n v="840"/>
    <n v="660.01031839999996"/>
    <n v="179.98968160000001"/>
    <n v="0.21427343047619049"/>
  </r>
  <r>
    <x v="45"/>
    <s v="West"/>
    <s v="Camera"/>
    <s v="Grace"/>
    <n v="14"/>
    <n v="598"/>
    <x v="2"/>
    <n v="8372"/>
    <n v="6491.1018679999997"/>
    <n v="1880.898132"/>
    <n v="0.2246653287147635"/>
  </r>
  <r>
    <x v="306"/>
    <s v="South"/>
    <s v="Laptop"/>
    <s v="Bob"/>
    <n v="14"/>
    <n v="1443"/>
    <x v="2"/>
    <n v="20202"/>
    <n v="15797.108480000001"/>
    <n v="4404.8915200000001"/>
    <n v="0.21804234828234828"/>
  </r>
  <r>
    <x v="191"/>
    <s v="West"/>
    <s v="Mobile"/>
    <s v="Bob"/>
    <n v="10"/>
    <n v="182"/>
    <x v="2"/>
    <n v="1820"/>
    <n v="1430.1160769999999"/>
    <n v="389.88392329999999"/>
    <n v="0.21422193587912086"/>
  </r>
  <r>
    <x v="106"/>
    <s v="West"/>
    <s v="Camera"/>
    <s v="Frank"/>
    <n v="12"/>
    <n v="402"/>
    <x v="2"/>
    <n v="4824"/>
    <n v="4120.2626140000002"/>
    <n v="703.73738619999995"/>
    <n v="0.14588254274461027"/>
  </r>
  <r>
    <x v="307"/>
    <s v="West"/>
    <s v="Tablet"/>
    <s v="David"/>
    <n v="6"/>
    <n v="361"/>
    <x v="2"/>
    <n v="2166"/>
    <n v="1410.1189670000001"/>
    <n v="755.88103269999999"/>
    <n v="0.34897554602954756"/>
  </r>
  <r>
    <x v="89"/>
    <s v="South"/>
    <s v="Mobile"/>
    <s v="Grace"/>
    <n v="12"/>
    <n v="883"/>
    <x v="2"/>
    <n v="10596"/>
    <n v="7525.1540009999999"/>
    <n v="3070.8459990000001"/>
    <n v="0.28981181568516423"/>
  </r>
  <r>
    <x v="81"/>
    <s v="West"/>
    <s v="Printer"/>
    <s v="Frank"/>
    <n v="14"/>
    <n v="1323"/>
    <x v="1"/>
    <n v="18522"/>
    <n v="14369.377200000001"/>
    <n v="4152.6228019999999"/>
    <n v="0.22419948180542057"/>
  </r>
  <r>
    <x v="282"/>
    <s v="East"/>
    <s v="Monitor"/>
    <s v="Alice"/>
    <n v="2"/>
    <n v="1363"/>
    <x v="1"/>
    <n v="2726"/>
    <n v="1867.305425"/>
    <n v="858.69457539999996"/>
    <n v="0.31500167842993393"/>
  </r>
  <r>
    <x v="150"/>
    <s v="North"/>
    <s v="Smartwatch"/>
    <s v="Eva"/>
    <n v="9"/>
    <n v="1013"/>
    <x v="0"/>
    <n v="9117"/>
    <n v="8145.5466040000001"/>
    <n v="971.45339579999995"/>
    <n v="0.10655406337611056"/>
  </r>
  <r>
    <x v="242"/>
    <s v="North"/>
    <s v="Mobile"/>
    <s v="Hannah"/>
    <n v="10"/>
    <n v="791"/>
    <x v="2"/>
    <n v="7910"/>
    <n v="5370.4555659999996"/>
    <n v="2539.5444339999999"/>
    <n v="0.3210549221238938"/>
  </r>
  <r>
    <x v="271"/>
    <s v="West"/>
    <s v="Smartwatch"/>
    <s v="Alice"/>
    <n v="17"/>
    <n v="1043"/>
    <x v="0"/>
    <n v="17731"/>
    <n v="13136.696900000001"/>
    <n v="4594.3030950000002"/>
    <n v="0.25911133579606338"/>
  </r>
  <r>
    <x v="169"/>
    <s v="North"/>
    <s v="tabllet"/>
    <s v="Bob"/>
    <n v="17"/>
    <n v="782"/>
    <x v="2"/>
    <n v="13294"/>
    <n v="11475.50728"/>
    <n v="1818.4927250000001"/>
    <n v="0.13679048630961335"/>
  </r>
  <r>
    <x v="252"/>
    <s v="South"/>
    <s v="Smartwatch"/>
    <s v="Eva"/>
    <n v="3"/>
    <n v="1418"/>
    <x v="0"/>
    <n v="4254"/>
    <n v="2654.5772459999998"/>
    <n v="1599.4227539999999"/>
    <n v="0.37598090126939349"/>
  </r>
  <r>
    <x v="308"/>
    <s v="South"/>
    <s v="Camera"/>
    <s v="Frank"/>
    <n v="19"/>
    <n v="1635"/>
    <x v="2"/>
    <n v="31065"/>
    <n v="26287.401839999999"/>
    <n v="4777.598164"/>
    <n v="0.15379359935618864"/>
  </r>
  <r>
    <x v="86"/>
    <s v="North"/>
    <s v="Camera"/>
    <s v="Alice"/>
    <n v="1"/>
    <n v="788"/>
    <x v="2"/>
    <n v="788"/>
    <n v="607.78637839999999"/>
    <n v="180.21362160000001"/>
    <n v="0.22869748934010153"/>
  </r>
  <r>
    <x v="76"/>
    <s v="South"/>
    <s v="Camera"/>
    <s v="Charlie"/>
    <n v="12"/>
    <n v="495"/>
    <x v="2"/>
    <n v="5940"/>
    <n v="3620.671237"/>
    <n v="2319.328763"/>
    <n v="0.3904593877104377"/>
  </r>
  <r>
    <x v="210"/>
    <s v="North"/>
    <s v="Camera"/>
    <s v="Hannah"/>
    <n v="7"/>
    <n v="1872"/>
    <x v="2"/>
    <n v="13104"/>
    <n v="11411.93116"/>
    <n v="1692.068839"/>
    <n v="0.1291261324023199"/>
  </r>
  <r>
    <x v="144"/>
    <s v="North"/>
    <s v="Camera"/>
    <s v="David"/>
    <n v="4"/>
    <n v="1261"/>
    <x v="2"/>
    <n v="5044"/>
    <n v="3085.7126509999998"/>
    <n v="1958.2873489999999"/>
    <n v="0.38824094944488502"/>
  </r>
  <r>
    <x v="109"/>
    <s v="North"/>
    <s v="Mobile"/>
    <s v="Grace"/>
    <n v="10"/>
    <n v="938"/>
    <x v="2"/>
    <n v="9380"/>
    <n v="7077.8228790000003"/>
    <n v="2302.1771210000002"/>
    <n v="0.24543466108742007"/>
  </r>
  <r>
    <x v="271"/>
    <s v="West"/>
    <s v="Camera"/>
    <s v="Grace"/>
    <n v="13"/>
    <n v="977"/>
    <x v="2"/>
    <n v="12701"/>
    <n v="7807.4237579999999"/>
    <n v="4893.5762420000001"/>
    <n v="0.3852906260924337"/>
  </r>
  <r>
    <x v="158"/>
    <s v="North"/>
    <s v="Unknown"/>
    <s v="David"/>
    <n v="2"/>
    <n v="922"/>
    <x v="2"/>
    <n v="1844"/>
    <n v="1145.7878940000001"/>
    <n v="698.21210550000001"/>
    <n v="0.37863997044468545"/>
  </r>
  <r>
    <x v="268"/>
    <s v="West"/>
    <s v="Camera"/>
    <s v="Charlie"/>
    <n v="10"/>
    <n v="1252"/>
    <x v="2"/>
    <n v="12520"/>
    <n v="10844.339400000001"/>
    <n v="1675.6605959999999"/>
    <n v="0.13383870575079873"/>
  </r>
  <r>
    <x v="172"/>
    <s v="North"/>
    <s v="Smartwatch"/>
    <s v="Bob"/>
    <n v="4"/>
    <n v="148"/>
    <x v="0"/>
    <n v="592"/>
    <n v="491.21061709999998"/>
    <n v="100.78938290000001"/>
    <n v="0.17025233597972975"/>
  </r>
  <r>
    <x v="234"/>
    <s v="North"/>
    <s v="Printer"/>
    <s v="Eva"/>
    <n v="18"/>
    <n v="1799"/>
    <x v="1"/>
    <n v="32382"/>
    <n v="21342.404719999999"/>
    <n v="11039.59528"/>
    <n v="0.34091764807609165"/>
  </r>
  <r>
    <x v="198"/>
    <s v="North"/>
    <s v="Camera"/>
    <s v="David"/>
    <n v="5"/>
    <n v="888"/>
    <x v="2"/>
    <n v="4440"/>
    <n v="3490.4633399999998"/>
    <n v="949.53665969999997"/>
    <n v="0.21385960804054052"/>
  </r>
  <r>
    <x v="305"/>
    <s v="South"/>
    <s v="Tablet"/>
    <s v="Charlie"/>
    <n v="19"/>
    <n v="392"/>
    <x v="2"/>
    <n v="7448"/>
    <n v="6244.4320280000002"/>
    <n v="1203.5679720000001"/>
    <n v="0.16159612943071966"/>
  </r>
  <r>
    <x v="66"/>
    <s v="West"/>
    <s v="Camera"/>
    <s v="Frank"/>
    <n v="2"/>
    <n v="1751"/>
    <x v="2"/>
    <n v="3502"/>
    <n v="3035.8039279999998"/>
    <n v="466.1960722"/>
    <n v="0.13312280759565961"/>
  </r>
  <r>
    <x v="279"/>
    <s v="West"/>
    <s v="Camera"/>
    <s v="Hannah"/>
    <n v="12"/>
    <n v="635"/>
    <x v="2"/>
    <n v="7620"/>
    <n v="5642.5496350000003"/>
    <n v="1977.4503649999999"/>
    <n v="0.25950792191601046"/>
  </r>
  <r>
    <x v="299"/>
    <s v="North"/>
    <s v="Unknown"/>
    <s v="Grace"/>
    <n v="17"/>
    <n v="410"/>
    <x v="0"/>
    <n v="6970"/>
    <n v="6058.6722440000003"/>
    <n v="911.3277564"/>
    <n v="0.13075003678622668"/>
  </r>
  <r>
    <x v="138"/>
    <s v="North"/>
    <s v="Monitor"/>
    <s v="Hannah"/>
    <n v="10"/>
    <n v="636"/>
    <x v="1"/>
    <n v="6360"/>
    <n v="4784.9779390000003"/>
    <n v="1575.0220609999999"/>
    <n v="0.24764497814465408"/>
  </r>
  <r>
    <x v="254"/>
    <s v="South"/>
    <s v="Headphones"/>
    <s v="Charlie"/>
    <n v="2"/>
    <n v="738"/>
    <x v="0"/>
    <n v="1476"/>
    <n v="1190.3473770000001"/>
    <n v="285.65262289999998"/>
    <n v="0.19353158733062328"/>
  </r>
  <r>
    <x v="47"/>
    <s v="South"/>
    <s v="Smartwatch"/>
    <s v="Hannah"/>
    <n v="6"/>
    <n v="333"/>
    <x v="0"/>
    <n v="1998"/>
    <n v="1785.6301980000001"/>
    <n v="212.36980199999999"/>
    <n v="0.10629119219219219"/>
  </r>
  <r>
    <x v="141"/>
    <s v="South"/>
    <s v="Tablet"/>
    <s v="Bob"/>
    <n v="8"/>
    <n v="-100"/>
    <x v="2"/>
    <n v="-800"/>
    <n v="-536.62842939999996"/>
    <n v="-263.37157059999998"/>
    <n v="0.32921446324999998"/>
  </r>
  <r>
    <x v="64"/>
    <s v="West"/>
    <s v="Headphones"/>
    <s v="Bob"/>
    <n v="19"/>
    <n v="704"/>
    <x v="0"/>
    <n v="13376"/>
    <n v="8701.8421770000004"/>
    <n v="4674.1578229999996"/>
    <n v="0.34944361715011957"/>
  </r>
  <r>
    <x v="309"/>
    <s v="West"/>
    <s v="Laptop"/>
    <s v="Alice"/>
    <n v="11"/>
    <n v="193"/>
    <x v="2"/>
    <n v="2123"/>
    <n v="1491.6317899999999"/>
    <n v="631.36821039999995"/>
    <n v="0.29739435252001883"/>
  </r>
  <r>
    <x v="236"/>
    <s v="West"/>
    <s v="Laptop"/>
    <s v="David"/>
    <n v="12"/>
    <n v="426"/>
    <x v="2"/>
    <n v="5112"/>
    <n v="3319.3223410000001"/>
    <n v="1792.6776589999999"/>
    <n v="0.35068029323161187"/>
  </r>
  <r>
    <x v="310"/>
    <s v="North"/>
    <s v="Monitor"/>
    <s v="Alice"/>
    <n v="9"/>
    <n v="324"/>
    <x v="1"/>
    <n v="2916"/>
    <n v="1998.185622"/>
    <n v="917.81437759999994"/>
    <n v="0.31475115829903977"/>
  </r>
  <r>
    <x v="311"/>
    <s v="West"/>
    <s v="Tablet"/>
    <s v="Hannah"/>
    <n v="2"/>
    <n v="1066"/>
    <x v="2"/>
    <n v="2132"/>
    <n v="1754.413413"/>
    <n v="377.5865872"/>
    <n v="0.17710440300187616"/>
  </r>
  <r>
    <x v="182"/>
    <s v="East"/>
    <s v="Smartwatch"/>
    <s v="Grace"/>
    <n v="8"/>
    <n v="989"/>
    <x v="0"/>
    <n v="7912"/>
    <n v="5880.6510520000002"/>
    <n v="2031.3489480000001"/>
    <n v="0.25674278918099092"/>
  </r>
  <r>
    <x v="292"/>
    <s v="East"/>
    <s v="Mobile"/>
    <s v="Charlie"/>
    <n v="11"/>
    <n v="1915"/>
    <x v="2"/>
    <n v="21065"/>
    <n v="15009.07346"/>
    <n v="6055.926539"/>
    <n v="0.28748761163066699"/>
  </r>
  <r>
    <x v="32"/>
    <s v="South"/>
    <s v="Tablet"/>
    <s v="Eva"/>
    <n v="4"/>
    <n v="110"/>
    <x v="2"/>
    <n v="440"/>
    <n v="312.67156870000002"/>
    <n v="127.32843130000001"/>
    <n v="0.28938279840909092"/>
  </r>
  <r>
    <x v="220"/>
    <s v="West"/>
    <s v="Printer"/>
    <s v="Hannah"/>
    <n v="10"/>
    <n v="1452"/>
    <x v="1"/>
    <n v="14520"/>
    <n v="9559.3725709999999"/>
    <n v="4960.6274290000001"/>
    <n v="0.34164100750688708"/>
  </r>
  <r>
    <x v="312"/>
    <s v="East"/>
    <s v="Headphones"/>
    <s v="Eva"/>
    <n v="16"/>
    <n v="1135"/>
    <x v="0"/>
    <n v="18160"/>
    <n v="13333.497600000001"/>
    <n v="4826.5023970000002"/>
    <n v="0.26577656371145375"/>
  </r>
  <r>
    <x v="58"/>
    <s v="South"/>
    <s v="Headphones"/>
    <s v="Bob"/>
    <n v="8"/>
    <n v="134"/>
    <x v="0"/>
    <n v="1072"/>
    <n v="844.08279570000002"/>
    <n v="227.91720430000001"/>
    <n v="0.21260933236940299"/>
  </r>
  <r>
    <x v="209"/>
    <s v="West"/>
    <s v="Camera"/>
    <s v="Eva"/>
    <n v="4"/>
    <n v="546"/>
    <x v="2"/>
    <n v="2184"/>
    <n v="1401.5742479999999"/>
    <n v="782.42575239999996"/>
    <n v="0.3582535496336996"/>
  </r>
  <r>
    <x v="313"/>
    <s v="North"/>
    <s v="Laptop"/>
    <s v="Eva"/>
    <n v="10"/>
    <n v="1575"/>
    <x v="2"/>
    <n v="15750"/>
    <n v="14046.54077"/>
    <n v="1703.4592299999999"/>
    <n v="0.10815614158730158"/>
  </r>
  <r>
    <x v="293"/>
    <s v="East"/>
    <s v="Monitor"/>
    <s v="Grace"/>
    <n v="12"/>
    <n v="1863"/>
    <x v="1"/>
    <n v="22356"/>
    <n v="16386.598190000001"/>
    <n v="5969.4018059999999"/>
    <n v="0.26701564707461084"/>
  </r>
  <r>
    <x v="4"/>
    <s v="West"/>
    <s v="Tablet"/>
    <s v="Hannah"/>
    <n v="16"/>
    <n v="540"/>
    <x v="2"/>
    <n v="8640"/>
    <n v="5533.035938"/>
    <n v="3106.964062"/>
    <n v="0.35960232199074077"/>
  </r>
  <r>
    <x v="168"/>
    <s v="East"/>
    <s v="Headphones"/>
    <s v="Charlie"/>
    <n v="18"/>
    <n v="752"/>
    <x v="0"/>
    <n v="13536"/>
    <n v="11237.11054"/>
    <n v="2298.8894570000002"/>
    <n v="0.16983521402186763"/>
  </r>
  <r>
    <x v="248"/>
    <s v="West"/>
    <s v="Monitor"/>
    <s v="Eva"/>
    <n v="12"/>
    <n v="1658"/>
    <x v="1"/>
    <n v="19896"/>
    <n v="15624.157999999999"/>
    <n v="4271.8420040000001"/>
    <n v="0.21470858484117411"/>
  </r>
  <r>
    <x v="255"/>
    <s v="North"/>
    <s v="Monitor"/>
    <s v="Frank"/>
    <n v="18"/>
    <n v="694"/>
    <x v="1"/>
    <n v="12492"/>
    <n v="10568.47229"/>
    <n v="1923.5277060000001"/>
    <n v="0.15398076416906822"/>
  </r>
  <r>
    <x v="63"/>
    <s v="East"/>
    <s v="Monitor"/>
    <s v="Eva"/>
    <n v="7"/>
    <n v="328"/>
    <x v="1"/>
    <n v="2296"/>
    <n v="1791.346953"/>
    <n v="504.6530467"/>
    <n v="0.21979662312717771"/>
  </r>
  <r>
    <x v="244"/>
    <s v="North"/>
    <s v="Tablet"/>
    <s v="Eva"/>
    <n v="7"/>
    <n v="443"/>
    <x v="2"/>
    <n v="3101"/>
    <n v="2756.32692"/>
    <n v="344.67308009999999"/>
    <n v="0.11114901002902289"/>
  </r>
  <r>
    <x v="138"/>
    <s v="West"/>
    <s v="Mobile"/>
    <s v="Alice"/>
    <n v="9"/>
    <n v="1203"/>
    <x v="2"/>
    <n v="10827"/>
    <n v="8532.5372800000005"/>
    <n v="2294.46272"/>
    <n v="0.21192045072503926"/>
  </r>
  <r>
    <x v="218"/>
    <s v="West"/>
    <s v="Camera"/>
    <s v="Charlie"/>
    <n v="1"/>
    <n v="1476"/>
    <x v="2"/>
    <n v="1476"/>
    <n v="1233.0227070000001"/>
    <n v="242.97729330000001"/>
    <n v="0.164618762398374"/>
  </r>
  <r>
    <x v="95"/>
    <s v="North"/>
    <s v="Laptop"/>
    <s v="Hannah"/>
    <n v="6"/>
    <n v="1519"/>
    <x v="2"/>
    <n v="9114"/>
    <n v="7867.8840819999996"/>
    <n v="1246.115918"/>
    <n v="0.13672546829054202"/>
  </r>
  <r>
    <x v="56"/>
    <s v="East"/>
    <s v="Headphones"/>
    <s v="Bob"/>
    <n v="6"/>
    <n v="1413"/>
    <x v="0"/>
    <n v="8478"/>
    <n v="6904.2716010000004"/>
    <n v="1573.7283990000001"/>
    <n v="0.18562495859872613"/>
  </r>
  <r>
    <x v="25"/>
    <s v="North"/>
    <s v="Tablet"/>
    <s v="Alice"/>
    <n v="12"/>
    <n v="1578"/>
    <x v="2"/>
    <n v="18936"/>
    <n v="14339.6836"/>
    <n v="4596.316401"/>
    <n v="0.24272900301013942"/>
  </r>
  <r>
    <x v="118"/>
    <s v="West"/>
    <s v="Smartwatch"/>
    <s v="Hannah"/>
    <n v="12"/>
    <n v="1966"/>
    <x v="0"/>
    <n v="23592"/>
    <n v="16086.09016"/>
    <n v="7505.9098430000004"/>
    <n v="0.318154876356392"/>
  </r>
  <r>
    <x v="306"/>
    <s v="South"/>
    <s v="Laptop"/>
    <s v="David"/>
    <n v="10"/>
    <n v="1794"/>
    <x v="2"/>
    <n v="17940"/>
    <n v="15362.87925"/>
    <n v="2577.1207549999999"/>
    <n v="0.14365221599777034"/>
  </r>
  <r>
    <x v="219"/>
    <s v="West"/>
    <s v="Mobile"/>
    <s v="Charlie"/>
    <n v="6"/>
    <n v="1088"/>
    <x v="2"/>
    <n v="6528"/>
    <n v="4857.9644500000004"/>
    <n v="1670.0355500000001"/>
    <n v="0.25582652420343138"/>
  </r>
  <r>
    <x v="174"/>
    <s v="North"/>
    <s v="Tablet"/>
    <s v="Frank"/>
    <n v="17"/>
    <n v="1251"/>
    <x v="2"/>
    <n v="21267"/>
    <n v="16720.380550000002"/>
    <n v="4546.6194450000003"/>
    <n v="0.21378753209197349"/>
  </r>
  <r>
    <x v="107"/>
    <s v="East"/>
    <s v="Printer"/>
    <s v="Charlie"/>
    <n v="19"/>
    <n v="1825"/>
    <x v="1"/>
    <n v="34675"/>
    <n v="21629.154060000001"/>
    <n v="13045.845939999999"/>
    <n v="0.37623203864455657"/>
  </r>
  <r>
    <x v="295"/>
    <s v="East"/>
    <s v="Printer"/>
    <s v="David"/>
    <n v="18"/>
    <n v="1008"/>
    <x v="1"/>
    <n v="18144"/>
    <n v="13593.58272"/>
    <n v="4550.4172779999999"/>
    <n v="0.2507946030643739"/>
  </r>
  <r>
    <x v="110"/>
    <s v="North"/>
    <s v="Camera"/>
    <s v="David"/>
    <n v="6"/>
    <n v="1666"/>
    <x v="2"/>
    <n v="9996"/>
    <n v="8091.2351429999999"/>
    <n v="1904.7648569999999"/>
    <n v="0.19055270678271308"/>
  </r>
  <r>
    <x v="298"/>
    <s v="North"/>
    <s v="Camera"/>
    <s v="David"/>
    <n v="19"/>
    <n v="1482"/>
    <x v="2"/>
    <n v="28158"/>
    <n v="21828.689050000001"/>
    <n v="6329.3109480000003"/>
    <n v="0.22477842701896442"/>
  </r>
  <r>
    <x v="252"/>
    <s v="East"/>
    <s v="Mobile"/>
    <s v="Grace"/>
    <n v="10"/>
    <n v="626"/>
    <x v="2"/>
    <n v="6260"/>
    <n v="4598.3860199999999"/>
    <n v="1661.6139800000001"/>
    <n v="0.26543354313099043"/>
  </r>
  <r>
    <x v="128"/>
    <s v="West"/>
    <s v="Mobile"/>
    <s v="Bob"/>
    <n v="8"/>
    <n v="1436"/>
    <x v="2"/>
    <n v="11488"/>
    <n v="7662.819904"/>
    <n v="3825.180096"/>
    <n v="0.33297180501392759"/>
  </r>
  <r>
    <x v="0"/>
    <s v="West"/>
    <s v="Headphones"/>
    <s v="Charlie"/>
    <n v="7"/>
    <n v="1669"/>
    <x v="0"/>
    <n v="11683"/>
    <n v="9465.4183130000001"/>
    <n v="2217.5816869999999"/>
    <n v="0.18981269254472311"/>
  </r>
  <r>
    <x v="19"/>
    <s v="North"/>
    <s v="Headphones"/>
    <s v="Hannah"/>
    <n v="1"/>
    <n v="1994"/>
    <x v="0"/>
    <n v="1994"/>
    <n v="1330.5108760000001"/>
    <n v="663.48912399999995"/>
    <n v="0.33274279037111332"/>
  </r>
  <r>
    <x v="68"/>
    <s v="North"/>
    <s v="Tablet"/>
    <s v="Grace"/>
    <n v="18"/>
    <n v="295"/>
    <x v="2"/>
    <n v="5310"/>
    <n v="4176.4104980000002"/>
    <n v="1133.589502"/>
    <n v="0.21348201544256121"/>
  </r>
  <r>
    <x v="193"/>
    <s v="West"/>
    <s v="Unknown"/>
    <s v="unknown"/>
    <n v="12"/>
    <n v="1966"/>
    <x v="0"/>
    <n v="23592"/>
    <n v="18329.126929999999"/>
    <n v="5262.8730729999997"/>
    <n v="0.22307871621736181"/>
  </r>
  <r>
    <x v="18"/>
    <s v="North"/>
    <s v="Tablet"/>
    <s v="Eva"/>
    <n v="16"/>
    <n v="128"/>
    <x v="2"/>
    <n v="2048"/>
    <n v="1825.0244990000001"/>
    <n v="222.9755007"/>
    <n v="0.10887475620117187"/>
  </r>
  <r>
    <x v="218"/>
    <s v="West"/>
    <s v="Smartwatch"/>
    <s v="Eva"/>
    <n v="10"/>
    <n v="805"/>
    <x v="0"/>
    <n v="8050"/>
    <n v="4976.7881500000003"/>
    <n v="3073.2118500000001"/>
    <n v="0.38176544720496897"/>
  </r>
  <r>
    <x v="158"/>
    <s v="South"/>
    <s v="Mobile"/>
    <s v="Frank"/>
    <n v="10"/>
    <n v="1120"/>
    <x v="2"/>
    <n v="11200"/>
    <n v="7083.2919609999999"/>
    <n v="4116.7080390000001"/>
    <n v="0.36756321776785716"/>
  </r>
  <r>
    <x v="74"/>
    <s v="East"/>
    <s v="Laptop"/>
    <s v="David"/>
    <n v="14"/>
    <n v="115"/>
    <x v="2"/>
    <n v="1610"/>
    <n v="1210.438314"/>
    <n v="399.56168609999997"/>
    <n v="0.248174960310559"/>
  </r>
  <r>
    <x v="132"/>
    <s v="South"/>
    <s v="Tablet"/>
    <s v="Bob"/>
    <n v="10"/>
    <n v="1546"/>
    <x v="2"/>
    <n v="15460"/>
    <n v="11720.73537"/>
    <n v="3739.2646300000001"/>
    <n v="0.24186705239327297"/>
  </r>
  <r>
    <x v="314"/>
    <s v="West"/>
    <s v="Tablet"/>
    <s v="Frank"/>
    <n v="10"/>
    <n v="1712"/>
    <x v="2"/>
    <n v="17120"/>
    <n v="10477.06846"/>
    <n v="6642.931544"/>
    <n v="0.38802170233644862"/>
  </r>
  <r>
    <x v="315"/>
    <s v="East"/>
    <s v="Smartwatch"/>
    <s v="Alice"/>
    <n v="11"/>
    <n v="904"/>
    <x v="0"/>
    <n v="9944"/>
    <n v="8430.0918920000004"/>
    <n v="1513.9081080000001"/>
    <n v="0.15224337369267901"/>
  </r>
  <r>
    <x v="167"/>
    <s v="West"/>
    <s v="Monitor"/>
    <s v="Grace"/>
    <n v="2"/>
    <n v="1716"/>
    <x v="1"/>
    <n v="3432"/>
    <n v="2568.5673139999999"/>
    <n v="863.43268639999997"/>
    <n v="0.2515829505827506"/>
  </r>
  <r>
    <x v="316"/>
    <s v="East"/>
    <s v="Mobile"/>
    <s v="Grace"/>
    <n v="8"/>
    <n v="1528"/>
    <x v="2"/>
    <n v="12224"/>
    <n v="8605.6119479999998"/>
    <n v="3618.3880519999998"/>
    <n v="0.29600687598167535"/>
  </r>
  <r>
    <x v="317"/>
    <s v="East"/>
    <s v="Mobile"/>
    <s v="Bob"/>
    <n v="7"/>
    <n v="1039"/>
    <x v="2"/>
    <n v="7273"/>
    <n v="5059.5070420000002"/>
    <n v="2213.4929579999998"/>
    <n v="0.30434386882991887"/>
  </r>
  <r>
    <x v="314"/>
    <s v="East"/>
    <s v="Printer"/>
    <s v="Eva"/>
    <n v="8"/>
    <n v="1759"/>
    <x v="1"/>
    <n v="14072"/>
    <n v="12079.716560000001"/>
    <n v="1992.2834419999999"/>
    <n v="0.14157784550881181"/>
  </r>
  <r>
    <x v="318"/>
    <s v="East"/>
    <s v="Monitor"/>
    <s v="Hannah"/>
    <n v="1"/>
    <n v="1654"/>
    <x v="1"/>
    <n v="1654"/>
    <n v="1090.0188479999999"/>
    <n v="563.98115170000005"/>
    <n v="0.34098014008464334"/>
  </r>
  <r>
    <x v="152"/>
    <s v="West"/>
    <s v="Smartwatch"/>
    <s v="Grace"/>
    <n v="2"/>
    <n v="1066"/>
    <x v="0"/>
    <n v="2132"/>
    <n v="1381.8031639999999"/>
    <n v="750.19683559999999"/>
    <n v="0.35187468836772984"/>
  </r>
  <r>
    <x v="57"/>
    <s v="East"/>
    <s v="Mobile"/>
    <s v="Bob"/>
    <n v="18"/>
    <n v="1737"/>
    <x v="2"/>
    <n v="31266"/>
    <n v="20759.171969999999"/>
    <n v="10506.828030000001"/>
    <n v="0.3360464411821148"/>
  </r>
  <r>
    <x v="32"/>
    <s v="East"/>
    <s v="Monitor"/>
    <s v="Grace"/>
    <n v="15"/>
    <n v="1200"/>
    <x v="1"/>
    <n v="18000"/>
    <n v="14175.12176"/>
    <n v="3824.8782430000001"/>
    <n v="0.21249323572222223"/>
  </r>
  <r>
    <x v="53"/>
    <s v="South"/>
    <s v="Camera"/>
    <s v="Grace"/>
    <n v="1"/>
    <n v="328"/>
    <x v="2"/>
    <n v="328"/>
    <n v="276.59559619999999"/>
    <n v="51.404403809999998"/>
    <n v="0.15672074332317074"/>
  </r>
  <r>
    <x v="279"/>
    <s v="North"/>
    <s v="Monitor"/>
    <s v="David"/>
    <n v="5"/>
    <n v="1061"/>
    <x v="1"/>
    <n v="5305"/>
    <n v="3709.7525909999999"/>
    <n v="1595.2474090000001"/>
    <n v="0.30070639189443921"/>
  </r>
  <r>
    <x v="249"/>
    <s v="North"/>
    <s v="Headphones"/>
    <s v="Alice"/>
    <n v="2"/>
    <n v="1420"/>
    <x v="0"/>
    <n v="2840"/>
    <n v="1851.789622"/>
    <n v="988.21037760000002"/>
    <n v="0.34796140056338026"/>
  </r>
  <r>
    <x v="319"/>
    <s v="South"/>
    <s v="Printer"/>
    <s v="unknown"/>
    <n v="3"/>
    <n v="1633"/>
    <x v="1"/>
    <n v="4899"/>
    <n v="3246.852668"/>
    <n v="1652.147332"/>
    <n v="0.33724174974484589"/>
  </r>
  <r>
    <x v="155"/>
    <s v="South"/>
    <s v="Camera"/>
    <s v="Alice"/>
    <n v="19"/>
    <n v="814"/>
    <x v="2"/>
    <n v="15466"/>
    <n v="12152.4889"/>
    <n v="3313.5111040000002"/>
    <n v="0.21424486641665591"/>
  </r>
  <r>
    <x v="261"/>
    <s v="West"/>
    <s v="Laptop"/>
    <s v="Grace"/>
    <n v="18"/>
    <n v="1083"/>
    <x v="2"/>
    <n v="19494"/>
    <n v="13135.263209999999"/>
    <n v="6358.7367899999999"/>
    <n v="0.32618943213296397"/>
  </r>
  <r>
    <x v="213"/>
    <s v="West"/>
    <s v="Tablet"/>
    <s v="Frank"/>
    <n v="18"/>
    <n v="672"/>
    <x v="2"/>
    <n v="12096"/>
    <n v="10441.074500000001"/>
    <n v="1654.9254960000001"/>
    <n v="0.13681593055555555"/>
  </r>
  <r>
    <x v="48"/>
    <s v="West"/>
    <s v="Printer"/>
    <s v="Hannah"/>
    <n v="14"/>
    <n v="1661"/>
    <x v="1"/>
    <n v="23254"/>
    <n v="14677.166869999999"/>
    <n v="8576.8331330000001"/>
    <n v="0.36883259366130561"/>
  </r>
  <r>
    <x v="246"/>
    <s v="South"/>
    <s v="Laptop"/>
    <s v="Eva"/>
    <n v="8"/>
    <n v="1706"/>
    <x v="2"/>
    <n v="13648"/>
    <n v="8321.3297259999999"/>
    <n v="5326.6702740000001"/>
    <n v="0.39028943977139507"/>
  </r>
  <r>
    <x v="313"/>
    <s v="South"/>
    <s v="Tablet"/>
    <s v="Grace"/>
    <n v="12"/>
    <n v="714"/>
    <x v="2"/>
    <n v="8568"/>
    <n v="5367.9674429999995"/>
    <n v="3200.032557"/>
    <n v="0.37348652626050421"/>
  </r>
  <r>
    <x v="231"/>
    <s v="East"/>
    <s v="Headphones"/>
    <s v="Alice"/>
    <n v="10"/>
    <n v="425"/>
    <x v="0"/>
    <n v="4250"/>
    <n v="3628.194978"/>
    <n v="621.80502149999995"/>
    <n v="0.14630706388235293"/>
  </r>
  <r>
    <x v="47"/>
    <s v="West"/>
    <s v="Monitor"/>
    <s v="Alice"/>
    <n v="17"/>
    <n v="1486"/>
    <x v="1"/>
    <n v="25262"/>
    <n v="20092.608039999999"/>
    <n v="5169.3919619999997"/>
    <n v="0.20463114408993743"/>
  </r>
  <r>
    <x v="312"/>
    <s v="West"/>
    <s v="Mobile"/>
    <s v="Alice"/>
    <n v="11"/>
    <n v="1792"/>
    <x v="2"/>
    <n v="19712"/>
    <n v="17490.918659999999"/>
    <n v="2221.081338"/>
    <n v="0.11267661008522727"/>
  </r>
  <r>
    <x v="281"/>
    <s v="North"/>
    <s v="Smartwatch"/>
    <s v="Bob"/>
    <n v="4"/>
    <n v="458"/>
    <x v="0"/>
    <n v="1832"/>
    <n v="1216.0878990000001"/>
    <n v="615.91210079999996"/>
    <n v="0.33619656157205235"/>
  </r>
  <r>
    <x v="262"/>
    <s v="East"/>
    <s v="Camera"/>
    <s v="Frank"/>
    <n v="1"/>
    <n v="1829"/>
    <x v="2"/>
    <n v="1829"/>
    <n v="1405.7558140000001"/>
    <n v="423.2441862"/>
    <n v="0.23140742821213778"/>
  </r>
  <r>
    <x v="159"/>
    <s v="West"/>
    <s v="Headphones"/>
    <s v="Bob"/>
    <n v="15"/>
    <n v="1910"/>
    <x v="0"/>
    <n v="28650"/>
    <n v="21812.63406"/>
    <n v="6837.365941"/>
    <n v="0.23865151626527051"/>
  </r>
  <r>
    <x v="320"/>
    <s v="West"/>
    <s v="Laptop"/>
    <s v="Eva"/>
    <n v="13"/>
    <n v="423"/>
    <x v="2"/>
    <n v="5499"/>
    <n v="4274.4122729999999"/>
    <n v="1224.5877270000001"/>
    <n v="0.22269280360065469"/>
  </r>
  <r>
    <x v="316"/>
    <s v="West"/>
    <s v="Smartwatch"/>
    <s v="Grace"/>
    <n v="8"/>
    <n v="1821"/>
    <x v="0"/>
    <n v="14568"/>
    <n v="10259.661990000001"/>
    <n v="4308.3380070000003"/>
    <n v="0.29573984122734764"/>
  </r>
  <r>
    <x v="170"/>
    <s v="North"/>
    <s v="Mobile"/>
    <s v="Alice"/>
    <n v="4"/>
    <n v="1449"/>
    <x v="2"/>
    <n v="5796"/>
    <n v="3487.853599"/>
    <n v="2308.146401"/>
    <n v="0.39823091804692889"/>
  </r>
  <r>
    <x v="272"/>
    <s v="North"/>
    <s v="Headphones"/>
    <s v="Frank"/>
    <n v="10"/>
    <n v="1748"/>
    <x v="0"/>
    <n v="17480"/>
    <n v="10671.70599"/>
    <n v="6808.2940120000003"/>
    <n v="0.38949050411899316"/>
  </r>
  <r>
    <x v="258"/>
    <s v="South"/>
    <s v="Smartwatch"/>
    <s v="Frank"/>
    <n v="19"/>
    <n v="1948"/>
    <x v="0"/>
    <n v="37012"/>
    <n v="29578.0635"/>
    <n v="7433.9365029999999"/>
    <n v="0.20085206157462443"/>
  </r>
  <r>
    <x v="201"/>
    <s v="East"/>
    <s v="Headphones"/>
    <s v="Charlie"/>
    <n v="18"/>
    <n v="264"/>
    <x v="0"/>
    <n v="4752"/>
    <n v="3597.156673"/>
    <n v="1154.843327"/>
    <n v="0.24302258564814816"/>
  </r>
  <r>
    <x v="301"/>
    <s v="South"/>
    <s v="Monitor"/>
    <s v="Eva"/>
    <n v="5"/>
    <n v="1696"/>
    <x v="1"/>
    <n v="8480"/>
    <n v="7176.6526450000001"/>
    <n v="1303.3473550000001"/>
    <n v="0.15369662205188681"/>
  </r>
  <r>
    <x v="12"/>
    <s v="East"/>
    <s v="Headphones"/>
    <s v="Hannah"/>
    <n v="19"/>
    <n v="1727"/>
    <x v="0"/>
    <n v="32813"/>
    <n v="22645.00461"/>
    <n v="10167.99539"/>
    <n v="0.30987704233078356"/>
  </r>
  <r>
    <x v="155"/>
    <s v="North"/>
    <s v="Mobile"/>
    <s v="Hannah"/>
    <n v="16"/>
    <n v="897"/>
    <x v="2"/>
    <n v="14352"/>
    <n v="12122.297259999999"/>
    <n v="2229.7027349999998"/>
    <n v="0.15535832880434783"/>
  </r>
  <r>
    <x v="205"/>
    <s v="Unknown"/>
    <s v="Printer"/>
    <s v="Frank"/>
    <n v="1"/>
    <n v="554"/>
    <x v="1"/>
    <n v="554"/>
    <n v="403.11667290000003"/>
    <n v="150.8833271"/>
    <n v="0.27235257599277979"/>
  </r>
  <r>
    <x v="186"/>
    <s v="South"/>
    <s v="Tablet"/>
    <s v="Grace"/>
    <n v="12"/>
    <n v="1276"/>
    <x v="2"/>
    <n v="15312"/>
    <n v="9631.3937040000001"/>
    <n v="5680.6062959999999"/>
    <n v="0.37099048432601878"/>
  </r>
  <r>
    <x v="114"/>
    <s v="West"/>
    <s v="Smartwatch"/>
    <s v="Alice"/>
    <n v="2"/>
    <n v="1860"/>
    <x v="0"/>
    <n v="3720"/>
    <n v="3323.3493039999998"/>
    <n v="396.6506961"/>
    <n v="0.10662653120967742"/>
  </r>
  <r>
    <x v="186"/>
    <s v="South"/>
    <s v="Monitor"/>
    <s v="Alice"/>
    <n v="8"/>
    <n v="1250"/>
    <x v="1"/>
    <n v="10000"/>
    <n v="7535.8077869999997"/>
    <n v="2464.1922129999998"/>
    <n v="0.24641922129999999"/>
  </r>
  <r>
    <x v="212"/>
    <s v="North"/>
    <s v="Mobile"/>
    <s v="Frank"/>
    <n v="18"/>
    <n v="292"/>
    <x v="2"/>
    <n v="5256"/>
    <n v="4146.1617210000004"/>
    <n v="1109.8382790000001"/>
    <n v="0.21115644577625572"/>
  </r>
  <r>
    <x v="266"/>
    <s v="North"/>
    <s v="Headphones"/>
    <s v="Bob"/>
    <n v="16"/>
    <n v="726"/>
    <x v="0"/>
    <n v="11616"/>
    <n v="9307.1940350000004"/>
    <n v="2308.805965"/>
    <n v="0.19876084409435263"/>
  </r>
  <r>
    <x v="123"/>
    <s v="Unknown"/>
    <s v="Monitor"/>
    <s v="Eva"/>
    <n v="5"/>
    <n v="1897"/>
    <x v="1"/>
    <n v="9485"/>
    <n v="6722.2440640000004"/>
    <n v="2762.755936"/>
    <n v="0.29127632430152872"/>
  </r>
  <r>
    <x v="321"/>
    <s v="South"/>
    <s v="Mobile"/>
    <s v="Alice"/>
    <n v="13"/>
    <n v="629"/>
    <x v="2"/>
    <n v="8177"/>
    <n v="6739.9617209999997"/>
    <n v="1437.0382790000001"/>
    <n v="0.17574150409685704"/>
  </r>
  <r>
    <x v="7"/>
    <s v="East"/>
    <s v="Printer"/>
    <s v="Frank"/>
    <n v="19"/>
    <n v="1133"/>
    <x v="1"/>
    <n v="21527"/>
    <n v="18536.467860000001"/>
    <n v="2990.5321399999998"/>
    <n v="0.13892006038927857"/>
  </r>
  <r>
    <x v="32"/>
    <s v="South"/>
    <s v="Monitor"/>
    <s v="Alice"/>
    <n v="3"/>
    <n v="191"/>
    <x v="1"/>
    <n v="573"/>
    <n v="410.35744119999998"/>
    <n v="162.64255879999999"/>
    <n v="0.28384390715532282"/>
  </r>
  <r>
    <x v="20"/>
    <s v="East"/>
    <s v="Monitor"/>
    <s v="Hannah"/>
    <n v="8"/>
    <n v="238"/>
    <x v="1"/>
    <n v="1904"/>
    <n v="1517.6789060000001"/>
    <n v="386.32109359999998"/>
    <n v="0.20289973403361344"/>
  </r>
  <r>
    <x v="106"/>
    <s v="South"/>
    <s v="Tablet"/>
    <s v="Frank"/>
    <n v="12"/>
    <n v="580"/>
    <x v="2"/>
    <n v="6960"/>
    <n v="5756.8745440000002"/>
    <n v="1203.125456"/>
    <n v="0.17286285287356321"/>
  </r>
  <r>
    <x v="49"/>
    <s v="South"/>
    <s v="Camera"/>
    <s v="Eva"/>
    <n v="2"/>
    <n v="548"/>
    <x v="2"/>
    <n v="1096"/>
    <n v="720.11339520000001"/>
    <n v="375.88660479999999"/>
    <n v="0.34296223065693432"/>
  </r>
  <r>
    <x v="29"/>
    <s v="North"/>
    <s v="Smartwatch"/>
    <s v="Frank"/>
    <n v="11"/>
    <n v="1456"/>
    <x v="0"/>
    <n v="16016"/>
    <n v="11207.657670000001"/>
    <n v="4808.3423339999999"/>
    <n v="0.30022117470029969"/>
  </r>
  <r>
    <x v="23"/>
    <s v="West"/>
    <s v="Laptop"/>
    <s v="Frank"/>
    <n v="18"/>
    <n v="439"/>
    <x v="2"/>
    <n v="7902"/>
    <n v="6168.7953850000004"/>
    <n v="1733.2046150000001"/>
    <n v="0.21933746076942548"/>
  </r>
  <r>
    <x v="163"/>
    <s v="East"/>
    <s v="Smartwatch"/>
    <s v="Frank"/>
    <n v="13"/>
    <n v="1175"/>
    <x v="0"/>
    <n v="15275"/>
    <n v="12835.296990000001"/>
    <n v="2439.7030089999998"/>
    <n v="0.15971869126022911"/>
  </r>
  <r>
    <x v="292"/>
    <s v="West"/>
    <s v="Tablet"/>
    <s v="Grace"/>
    <n v="5"/>
    <n v="1830"/>
    <x v="2"/>
    <n v="9150"/>
    <n v="7166.7521120000001"/>
    <n v="1983.2478880000001"/>
    <n v="0.21674840306010931"/>
  </r>
  <r>
    <x v="279"/>
    <s v="South"/>
    <s v="Headphones"/>
    <s v="Hannah"/>
    <n v="12"/>
    <n v="565"/>
    <x v="0"/>
    <n v="6780"/>
    <n v="4433.6803120000004"/>
    <n v="2346.319688"/>
    <n v="0.34606485073746313"/>
  </r>
  <r>
    <x v="137"/>
    <s v="South"/>
    <s v="Smartwatch"/>
    <s v="Eva"/>
    <n v="2"/>
    <n v="817"/>
    <x v="0"/>
    <n v="1634"/>
    <n v="1248.229834"/>
    <n v="385.77016570000001"/>
    <n v="0.23608945269277845"/>
  </r>
  <r>
    <x v="263"/>
    <s v="North"/>
    <s v="Smartwatch"/>
    <s v="Grace"/>
    <n v="5"/>
    <n v="898"/>
    <x v="0"/>
    <n v="4490"/>
    <n v="3818.6562979999999"/>
    <n v="671.34370190000004"/>
    <n v="0.14951975543429846"/>
  </r>
  <r>
    <x v="111"/>
    <s v="North"/>
    <s v="Mobile"/>
    <s v="Frank"/>
    <n v="7"/>
    <n v="574"/>
    <x v="2"/>
    <n v="4018"/>
    <n v="2775.7044689999998"/>
    <n v="1242.295531"/>
    <n v="0.30918256122448978"/>
  </r>
  <r>
    <x v="197"/>
    <s v="West"/>
    <s v="Headphones"/>
    <s v="Eva"/>
    <n v="12"/>
    <n v="500"/>
    <x v="0"/>
    <n v="6000"/>
    <n v="5098.772704"/>
    <n v="901.22729589999994"/>
    <n v="0.15020454931666666"/>
  </r>
  <r>
    <x v="313"/>
    <s v="East"/>
    <s v="Laptop"/>
    <s v="Charlie"/>
    <n v="16"/>
    <n v="1562"/>
    <x v="2"/>
    <n v="24992"/>
    <n v="20877.991529999999"/>
    <n v="4114.008468"/>
    <n v="0.16461301488476313"/>
  </r>
  <r>
    <x v="311"/>
    <s v="West"/>
    <s v="Camera"/>
    <s v="Eva"/>
    <n v="8"/>
    <n v="704"/>
    <x v="2"/>
    <n v="5632"/>
    <n v="3415.9332690000001"/>
    <n v="2216.0667309999999"/>
    <n v="0.39347775763494314"/>
  </r>
  <r>
    <x v="61"/>
    <s v="West"/>
    <s v="Monitor"/>
    <s v="Alice"/>
    <n v="9"/>
    <n v="1031"/>
    <x v="1"/>
    <n v="9279"/>
    <n v="6233.9703659999996"/>
    <n v="3045.029634"/>
    <n v="0.32816355577109602"/>
  </r>
  <r>
    <x v="80"/>
    <s v="West"/>
    <s v="Printer"/>
    <s v="Grace"/>
    <n v="15"/>
    <n v="1096"/>
    <x v="1"/>
    <n v="16440"/>
    <n v="12541.791950000001"/>
    <n v="3898.2080550000001"/>
    <n v="0.23711727828467152"/>
  </r>
  <r>
    <x v="322"/>
    <s v="West"/>
    <s v="Tablet"/>
    <s v="Eva"/>
    <n v="5"/>
    <n v="1021"/>
    <x v="2"/>
    <n v="5105"/>
    <n v="4162.0310019999997"/>
    <n v="942.96899780000001"/>
    <n v="0.18471478899118512"/>
  </r>
  <r>
    <x v="308"/>
    <s v="South"/>
    <s v="Mobile"/>
    <s v="Hannah"/>
    <n v="13"/>
    <n v="920"/>
    <x v="2"/>
    <n v="11960"/>
    <n v="10335.34353"/>
    <n v="1624.6564739999999"/>
    <n v="0.13584084230769231"/>
  </r>
  <r>
    <x v="316"/>
    <s v="East"/>
    <s v="Tablet"/>
    <s v="Charlie"/>
    <n v="5"/>
    <n v="756"/>
    <x v="2"/>
    <n v="3780"/>
    <n v="2994.9419889999999"/>
    <n v="785.05801110000004"/>
    <n v="0.20768730452380954"/>
  </r>
  <r>
    <x v="233"/>
    <s v="South"/>
    <s v="Laptop"/>
    <s v="David"/>
    <n v="11"/>
    <n v="697"/>
    <x v="2"/>
    <n v="7667"/>
    <n v="5475.0296280000002"/>
    <n v="2191.9703720000002"/>
    <n v="0.28589674866310161"/>
  </r>
  <r>
    <x v="135"/>
    <s v="East"/>
    <s v="Monitor"/>
    <s v="Frank"/>
    <n v="10"/>
    <n v="1632"/>
    <x v="1"/>
    <n v="16320"/>
    <n v="10695.934800000001"/>
    <n v="5624.0651959999996"/>
    <n v="0.34461183799019607"/>
  </r>
  <r>
    <x v="102"/>
    <s v="North"/>
    <s v="Laptop"/>
    <s v="Eva"/>
    <n v="13"/>
    <n v="1276"/>
    <x v="2"/>
    <n v="16588"/>
    <n v="13735.04243"/>
    <n v="2852.9575690000001"/>
    <n v="0.17198924336870028"/>
  </r>
  <r>
    <x v="242"/>
    <s v="West"/>
    <s v="Smartwatch"/>
    <s v="Frank"/>
    <n v="9"/>
    <n v="613"/>
    <x v="0"/>
    <n v="5517"/>
    <n v="3652.4441590000001"/>
    <n v="1864.5558410000001"/>
    <n v="0.33796553217328262"/>
  </r>
  <r>
    <x v="323"/>
    <s v="South"/>
    <s v="Printer"/>
    <s v="Bob"/>
    <n v="14"/>
    <n v="1626"/>
    <x v="1"/>
    <n v="22764"/>
    <n v="18407.634119999999"/>
    <n v="4356.3658830000004"/>
    <n v="0.19137084356879286"/>
  </r>
  <r>
    <x v="232"/>
    <s v="East"/>
    <s v="Laptop"/>
    <s v="Alice"/>
    <n v="18"/>
    <n v="1977"/>
    <x v="2"/>
    <n v="35586"/>
    <n v="23286.178980000001"/>
    <n v="12299.821019999999"/>
    <n v="0.34563651492159836"/>
  </r>
  <r>
    <x v="3"/>
    <s v="North"/>
    <s v="Tablet"/>
    <s v="Grace"/>
    <n v="15"/>
    <n v="1895"/>
    <x v="2"/>
    <n v="28425"/>
    <n v="17831.46171"/>
    <n v="10593.53829"/>
    <n v="0.37268384485488126"/>
  </r>
  <r>
    <x v="238"/>
    <s v="North"/>
    <s v="Headphones"/>
    <s v="Alice"/>
    <n v="10"/>
    <n v="1799"/>
    <x v="0"/>
    <n v="17990"/>
    <n v="12149.187910000001"/>
    <n v="5840.8120929999995"/>
    <n v="0.32466993290717061"/>
  </r>
  <r>
    <x v="97"/>
    <s v="West"/>
    <s v="Headphones"/>
    <s v="Bob"/>
    <n v="7"/>
    <n v="1129"/>
    <x v="0"/>
    <n v="7903"/>
    <n v="5417.3400760000004"/>
    <n v="2485.659924"/>
    <n v="0.31452105833227889"/>
  </r>
  <r>
    <x v="321"/>
    <s v="East"/>
    <s v="Smartwatch"/>
    <s v="Bob"/>
    <n v="8"/>
    <n v="599"/>
    <x v="0"/>
    <n v="4792"/>
    <n v="3805.6278520000001"/>
    <n v="986.37214830000005"/>
    <n v="0.20583725966193658"/>
  </r>
  <r>
    <x v="264"/>
    <s v="South"/>
    <s v="Unknown"/>
    <s v="Grace"/>
    <n v="3"/>
    <n v="1784"/>
    <x v="2"/>
    <n v="5352"/>
    <n v="3469.5143349999998"/>
    <n v="1882.4856649999999"/>
    <n v="0.35173498972346784"/>
  </r>
  <r>
    <x v="216"/>
    <s v="West"/>
    <s v="Tablet"/>
    <s v="Eva"/>
    <n v="15"/>
    <n v="816"/>
    <x v="2"/>
    <n v="12240"/>
    <n v="10760.08698"/>
    <n v="1479.913016"/>
    <n v="0.12090792614379085"/>
  </r>
  <r>
    <x v="288"/>
    <s v="South"/>
    <s v="Tablet"/>
    <s v="Bob"/>
    <n v="16"/>
    <n v="1241"/>
    <x v="2"/>
    <n v="19856"/>
    <n v="15215.821690000001"/>
    <n v="4640.1783070000001"/>
    <n v="0.23369149410757453"/>
  </r>
  <r>
    <x v="105"/>
    <s v="North"/>
    <s v="Laptop"/>
    <s v="David"/>
    <n v="4"/>
    <n v="1608"/>
    <x v="2"/>
    <n v="6432"/>
    <n v="4806.5018680000003"/>
    <n v="1625.4981319999999"/>
    <n v="0.25272048072139303"/>
  </r>
  <r>
    <x v="301"/>
    <s v="South"/>
    <s v="Printer"/>
    <s v="Frank"/>
    <n v="6"/>
    <n v="700"/>
    <x v="1"/>
    <n v="4200"/>
    <n v="3067.7150879999999"/>
    <n v="1132.2849120000001"/>
    <n v="0.26959164571428573"/>
  </r>
  <r>
    <x v="146"/>
    <s v="South"/>
    <s v="Tablet"/>
    <s v="Frank"/>
    <n v="1"/>
    <n v="765"/>
    <x v="2"/>
    <n v="765"/>
    <n v="589.03500910000002"/>
    <n v="175.9649909"/>
    <n v="0.23001959594771243"/>
  </r>
  <r>
    <x v="217"/>
    <s v="West"/>
    <s v="Mobile"/>
    <s v="Charlie"/>
    <n v="4"/>
    <n v="1802"/>
    <x v="2"/>
    <n v="7208"/>
    <n v="4373.3393219999998"/>
    <n v="2834.6606780000002"/>
    <n v="0.39326590982241955"/>
  </r>
  <r>
    <x v="24"/>
    <s v="South"/>
    <s v="Camera"/>
    <s v="Hannah"/>
    <n v="11"/>
    <n v="567"/>
    <x v="2"/>
    <n v="6237"/>
    <n v="5594.7506149999999"/>
    <n v="642.24938450000002"/>
    <n v="0.1029740876222543"/>
  </r>
  <r>
    <x v="145"/>
    <s v="West"/>
    <s v="Laptop"/>
    <s v="Bob"/>
    <n v="12"/>
    <n v="260"/>
    <x v="2"/>
    <n v="3120"/>
    <n v="2393.8428159999999"/>
    <n v="726.15718389999995"/>
    <n v="0.23274268714743587"/>
  </r>
  <r>
    <x v="110"/>
    <s v="North"/>
    <s v="Mobile"/>
    <s v="Bob"/>
    <n v="5"/>
    <n v="369"/>
    <x v="2"/>
    <n v="1845"/>
    <n v="1126.4804340000001"/>
    <n v="718.51956629999995"/>
    <n v="0.38944149934959349"/>
  </r>
  <r>
    <x v="295"/>
    <s v="West"/>
    <s v="Smartwatch"/>
    <s v="David"/>
    <n v="16"/>
    <n v="1179"/>
    <x v="0"/>
    <n v="18864"/>
    <n v="14657.20126"/>
    <n v="4206.7987389999998"/>
    <n v="0.22300671856446139"/>
  </r>
  <r>
    <x v="211"/>
    <s v="West"/>
    <s v="Headphones"/>
    <s v="Alice"/>
    <n v="13"/>
    <n v="327"/>
    <x v="0"/>
    <n v="4251"/>
    <n v="3108.0065399999999"/>
    <n v="1142.9934599999999"/>
    <n v="0.26887637261820746"/>
  </r>
  <r>
    <x v="323"/>
    <s v="East"/>
    <s v="Smartwatch"/>
    <s v="Alice"/>
    <n v="13"/>
    <n v="948"/>
    <x v="0"/>
    <n v="12324"/>
    <n v="7483.272172"/>
    <n v="4840.727828"/>
    <n v="0.39278869100941255"/>
  </r>
  <r>
    <x v="102"/>
    <s v="South"/>
    <s v="Headphones"/>
    <s v="Frank"/>
    <n v="17"/>
    <n v="248"/>
    <x v="0"/>
    <n v="4216"/>
    <n v="3698.8174859999999"/>
    <n v="517.18251429999998"/>
    <n v="0.12267137435958254"/>
  </r>
  <r>
    <x v="44"/>
    <s v="North"/>
    <s v="Smartwatch"/>
    <s v="Frank"/>
    <n v="7"/>
    <n v="1169"/>
    <x v="0"/>
    <n v="8183"/>
    <n v="4935.7406140000003"/>
    <n v="3247.2593860000002"/>
    <n v="0.39682993840889652"/>
  </r>
  <r>
    <x v="92"/>
    <s v="West"/>
    <s v="Tablet"/>
    <s v="Eva"/>
    <n v="8"/>
    <n v="1267"/>
    <x v="2"/>
    <n v="10136"/>
    <n v="7838.792195"/>
    <n v="2297.207805"/>
    <n v="0.22663849694159433"/>
  </r>
  <r>
    <x v="311"/>
    <s v="North"/>
    <s v="Mobile"/>
    <s v="Grace"/>
    <n v="13"/>
    <n v="1873"/>
    <x v="2"/>
    <n v="24349"/>
    <n v="21634.992869999998"/>
    <n v="2714.007126"/>
    <n v="0.11146277571974209"/>
  </r>
  <r>
    <x v="99"/>
    <s v="East"/>
    <s v="Headphones"/>
    <s v="Hannah"/>
    <n v="16"/>
    <n v="1907"/>
    <x v="0"/>
    <n v="30512"/>
    <n v="20482.13652"/>
    <n v="10029.86348"/>
    <n v="0.32871865102254849"/>
  </r>
  <r>
    <x v="191"/>
    <s v="South"/>
    <s v="Laptop"/>
    <s v="David"/>
    <n v="4"/>
    <n v="731"/>
    <x v="2"/>
    <n v="2924"/>
    <n v="1977.3658840000001"/>
    <n v="946.63411610000003"/>
    <n v="0.32374627773597814"/>
  </r>
  <r>
    <x v="248"/>
    <s v="West"/>
    <s v="Mobile"/>
    <s v="Grace"/>
    <n v="8"/>
    <n v="1463"/>
    <x v="2"/>
    <n v="11704"/>
    <n v="7023.8856889999997"/>
    <n v="4680.1143110000003"/>
    <n v="0.39987306143198909"/>
  </r>
  <r>
    <x v="44"/>
    <s v="South"/>
    <s v="Laptop"/>
    <s v="Grace"/>
    <n v="16"/>
    <n v="512"/>
    <x v="2"/>
    <n v="8192"/>
    <n v="5078.2646400000003"/>
    <n v="3113.7353600000001"/>
    <n v="0.38009464843750002"/>
  </r>
  <r>
    <x v="124"/>
    <s v="East"/>
    <s v="Mobile"/>
    <s v="Charlie"/>
    <n v="10"/>
    <n v="1855"/>
    <x v="2"/>
    <n v="18550"/>
    <n v="11379.80401"/>
    <n v="7170.1959900000002"/>
    <n v="0.38653347654986525"/>
  </r>
  <r>
    <x v="294"/>
    <s v="East"/>
    <s v="Mobile"/>
    <s v="Grace"/>
    <n v="12"/>
    <n v="619"/>
    <x v="2"/>
    <n v="7428"/>
    <n v="6290.0072630000004"/>
    <n v="1137.992737"/>
    <n v="0.1532031148357566"/>
  </r>
  <r>
    <x v="285"/>
    <s v="North"/>
    <s v="Smartwatch"/>
    <s v="Charlie"/>
    <n v="12"/>
    <n v="1467"/>
    <x v="0"/>
    <n v="17604"/>
    <n v="14981.37845"/>
    <n v="2622.6215459999999"/>
    <n v="0.14897872903885478"/>
  </r>
  <r>
    <x v="324"/>
    <s v="West"/>
    <s v="Headphones"/>
    <s v="Grace"/>
    <n v="5"/>
    <n v="486"/>
    <x v="0"/>
    <n v="2430"/>
    <n v="1987.764361"/>
    <n v="442.23563860000002"/>
    <n v="0.1819899747325103"/>
  </r>
  <r>
    <x v="320"/>
    <s v="North"/>
    <s v="Headphones"/>
    <s v="David"/>
    <n v="16"/>
    <n v="1596"/>
    <x v="0"/>
    <n v="25536"/>
    <n v="18023.90899"/>
    <n v="7512.0910080000003"/>
    <n v="0.29417649624060149"/>
  </r>
  <r>
    <x v="188"/>
    <s v="East"/>
    <s v="Printer"/>
    <s v="Charlie"/>
    <n v="1"/>
    <n v="374"/>
    <x v="1"/>
    <n v="374"/>
    <n v="316.54474929999998"/>
    <n v="57.455250720000002"/>
    <n v="0.15362366502673797"/>
  </r>
  <r>
    <x v="325"/>
    <s v="South"/>
    <s v="Mobile"/>
    <s v="Alice"/>
    <n v="9"/>
    <n v="452"/>
    <x v="2"/>
    <n v="4068"/>
    <n v="3099.540825"/>
    <n v="968.45917550000001"/>
    <n v="0.23806764392822025"/>
  </r>
  <r>
    <x v="242"/>
    <s v="North"/>
    <s v="Tablet"/>
    <s v="Charlie"/>
    <n v="12"/>
    <n v="1189"/>
    <x v="2"/>
    <n v="14268"/>
    <n v="9863.3697069999998"/>
    <n v="4404.6302930000002"/>
    <n v="0.30870691708718812"/>
  </r>
  <r>
    <x v="18"/>
    <s v="South"/>
    <s v="Laptop"/>
    <s v="David"/>
    <n v="3"/>
    <n v="697"/>
    <x v="2"/>
    <n v="2091"/>
    <n v="1295.8561219999999"/>
    <n v="795.14387799999997"/>
    <n v="0.38026966905786702"/>
  </r>
  <r>
    <x v="103"/>
    <s v="North"/>
    <s v="Laptop"/>
    <s v="David"/>
    <n v="5"/>
    <n v="1759"/>
    <x v="2"/>
    <n v="8795"/>
    <n v="7770.1415699999998"/>
    <n v="1024.85843"/>
    <n v="0.11652739397384877"/>
  </r>
  <r>
    <x v="79"/>
    <s v="South"/>
    <s v="Smartwatch"/>
    <s v="Charlie"/>
    <n v="2"/>
    <n v="1325"/>
    <x v="0"/>
    <n v="2650"/>
    <n v="2082.1975520000001"/>
    <n v="567.80244819999996"/>
    <n v="0.21426507479245283"/>
  </r>
  <r>
    <x v="19"/>
    <s v="West"/>
    <s v="Mobile"/>
    <s v="Hannah"/>
    <n v="14"/>
    <n v="1785"/>
    <x v="2"/>
    <n v="24990"/>
    <n v="20476.062379999999"/>
    <n v="4513.9376149999998"/>
    <n v="0.18062975650260105"/>
  </r>
  <r>
    <x v="307"/>
    <s v="South"/>
    <s v="Laptop"/>
    <s v="Bob"/>
    <n v="2"/>
    <n v="657"/>
    <x v="2"/>
    <n v="1314"/>
    <n v="1055.1091650000001"/>
    <n v="258.89083540000001"/>
    <n v="0.19702498888888889"/>
  </r>
  <r>
    <x v="92"/>
    <s v="West"/>
    <s v="Laptop"/>
    <s v="Hannah"/>
    <n v="13"/>
    <n v="212"/>
    <x v="2"/>
    <n v="2756"/>
    <n v="2205.6956869999999"/>
    <n v="550.30431280000005"/>
    <n v="0.19967500464441221"/>
  </r>
  <r>
    <x v="64"/>
    <s v="South"/>
    <s v="Camera"/>
    <s v="David"/>
    <n v="7"/>
    <n v="1214"/>
    <x v="2"/>
    <n v="8498"/>
    <n v="5142.8051560000004"/>
    <n v="3355.1948440000001"/>
    <n v="0.39482170440103553"/>
  </r>
  <r>
    <x v="168"/>
    <s v="East"/>
    <s v="Mobile"/>
    <s v="Hannah"/>
    <n v="10"/>
    <n v="240"/>
    <x v="2"/>
    <n v="2400"/>
    <n v="1818.267321"/>
    <n v="581.73267859999999"/>
    <n v="0.24238861608333331"/>
  </r>
  <r>
    <x v="213"/>
    <s v="East"/>
    <s v="Monitor"/>
    <s v="Hannah"/>
    <n v="13"/>
    <n v="1412"/>
    <x v="1"/>
    <n v="18356"/>
    <n v="15538.59389"/>
    <n v="2817.406113"/>
    <n v="0.15348693141207234"/>
  </r>
  <r>
    <x v="91"/>
    <s v="West"/>
    <s v="Smartwatch"/>
    <s v="Eva"/>
    <n v="16"/>
    <n v="829"/>
    <x v="0"/>
    <n v="13264"/>
    <n v="8135.5494140000001"/>
    <n v="5128.4505859999999"/>
    <n v="0.38664434454161639"/>
  </r>
  <r>
    <x v="126"/>
    <s v="West"/>
    <s v="Laptop"/>
    <s v="Eva"/>
    <n v="14"/>
    <n v="688"/>
    <x v="2"/>
    <n v="9632"/>
    <n v="8542.1363600000004"/>
    <n v="1089.86364"/>
    <n v="0.11315029485049834"/>
  </r>
  <r>
    <x v="151"/>
    <s v="East"/>
    <s v="Smartwatch"/>
    <s v="Alice"/>
    <n v="11"/>
    <n v="510"/>
    <x v="0"/>
    <n v="5610"/>
    <n v="4079.8607459999998"/>
    <n v="1530.1392539999999"/>
    <n v="0.27275209518716576"/>
  </r>
  <r>
    <x v="326"/>
    <s v="West"/>
    <s v="Headphones"/>
    <s v="Grace"/>
    <n v="10"/>
    <n v="476"/>
    <x v="0"/>
    <n v="4760"/>
    <n v="3269.9707629999998"/>
    <n v="1490.029237"/>
    <n v="0.31303135231092438"/>
  </r>
  <r>
    <x v="277"/>
    <s v="South"/>
    <s v="Smartwatch"/>
    <s v="Charlie"/>
    <n v="6"/>
    <n v="1507"/>
    <x v="0"/>
    <n v="9042"/>
    <n v="6867.8186260000002"/>
    <n v="2174.1813739999998"/>
    <n v="0.24045359146206588"/>
  </r>
  <r>
    <x v="236"/>
    <s v="Unknown"/>
    <s v="Monitor"/>
    <s v="Bob"/>
    <n v="4"/>
    <n v="1969"/>
    <x v="1"/>
    <n v="7876"/>
    <n v="6618.7088830000002"/>
    <n v="1257.291117"/>
    <n v="0.1596357436515998"/>
  </r>
  <r>
    <x v="122"/>
    <s v="East"/>
    <s v="Tablet"/>
    <s v="Alice"/>
    <n v="1"/>
    <n v="1275"/>
    <x v="2"/>
    <n v="1275"/>
    <n v="946.59381110000004"/>
    <n v="328.40618890000002"/>
    <n v="0.2575734814901961"/>
  </r>
  <r>
    <x v="303"/>
    <s v="North"/>
    <s v="Monitor"/>
    <s v="Charlie"/>
    <n v="7"/>
    <n v="1958"/>
    <x v="1"/>
    <n v="13706"/>
    <n v="10876.14552"/>
    <n v="2829.8544790000001"/>
    <n v="0.20646829702320152"/>
  </r>
  <r>
    <x v="277"/>
    <s v="South"/>
    <s v="Tablet"/>
    <s v="Hannah"/>
    <n v="9"/>
    <n v="850"/>
    <x v="2"/>
    <n v="7650"/>
    <n v="5737.3035200000004"/>
    <n v="1912.6964800000001"/>
    <n v="0.25002568366013073"/>
  </r>
  <r>
    <x v="185"/>
    <s v="West"/>
    <s v="Smartwatch"/>
    <s v="David"/>
    <n v="8"/>
    <n v="726"/>
    <x v="0"/>
    <n v="5808"/>
    <n v="4584.7287800000004"/>
    <n v="1223.2712200000001"/>
    <n v="0.21061832300275485"/>
  </r>
  <r>
    <x v="327"/>
    <s v="North"/>
    <s v="Tablet"/>
    <s v="Eva"/>
    <n v="5"/>
    <n v="1442"/>
    <x v="2"/>
    <n v="7210"/>
    <n v="4624.5608700000003"/>
    <n v="2585.4391300000002"/>
    <n v="0.35859072538141473"/>
  </r>
  <r>
    <x v="137"/>
    <s v="North"/>
    <s v="Headphones"/>
    <s v="Frank"/>
    <n v="19"/>
    <n v="1492"/>
    <x v="0"/>
    <n v="28348"/>
    <n v="17337.608899999999"/>
    <n v="11010.391100000001"/>
    <n v="0.388400984196416"/>
  </r>
  <r>
    <x v="328"/>
    <s v="South"/>
    <s v="Mobile"/>
    <s v="Bob"/>
    <n v="10"/>
    <n v="1729"/>
    <x v="2"/>
    <n v="17290"/>
    <n v="11084.10759"/>
    <n v="6205.892409"/>
    <n v="0.35892957831116251"/>
  </r>
  <r>
    <x v="282"/>
    <s v="South"/>
    <s v="Tablet"/>
    <s v="Hannah"/>
    <n v="11"/>
    <n v="1094"/>
    <x v="2"/>
    <n v="12034"/>
    <n v="8252.3328700000002"/>
    <n v="3781.6671299999998"/>
    <n v="0.31424855658966261"/>
  </r>
  <r>
    <x v="320"/>
    <s v="North"/>
    <s v="Tablet"/>
    <s v="Frank"/>
    <n v="15"/>
    <n v="1683"/>
    <x v="2"/>
    <n v="25245"/>
    <n v="17065.792140000001"/>
    <n v="8179.2078609999999"/>
    <n v="0.32399318126361654"/>
  </r>
  <r>
    <x v="302"/>
    <s v="North"/>
    <s v="Smartwatch"/>
    <s v="Eva"/>
    <n v="6"/>
    <n v="802"/>
    <x v="0"/>
    <n v="4812"/>
    <n v="3775.2671350000001"/>
    <n v="1036.7328649999999"/>
    <n v="0.21544739505403157"/>
  </r>
  <r>
    <x v="320"/>
    <s v="East"/>
    <s v="Headphones"/>
    <s v="Hannah"/>
    <n v="15"/>
    <n v="561"/>
    <x v="0"/>
    <n v="8415"/>
    <n v="6199.8928509999996"/>
    <n v="2215.1071489999999"/>
    <n v="0.26323317278669045"/>
  </r>
  <r>
    <x v="313"/>
    <s v="West"/>
    <s v="Printer"/>
    <s v="Grace"/>
    <n v="5"/>
    <n v="111"/>
    <x v="1"/>
    <n v="555"/>
    <n v="339.46219480000002"/>
    <n v="215.53780520000001"/>
    <n v="0.3883564057657658"/>
  </r>
  <r>
    <x v="320"/>
    <s v="East"/>
    <s v="Printer"/>
    <s v="Grace"/>
    <n v="19"/>
    <n v="1279"/>
    <x v="1"/>
    <n v="24301"/>
    <n v="14834.78292"/>
    <n v="9466.2170829999995"/>
    <n v="0.38954022809760913"/>
  </r>
  <r>
    <x v="50"/>
    <s v="South"/>
    <s v="Printer"/>
    <s v="Frank"/>
    <n v="19"/>
    <n v="1807"/>
    <x v="1"/>
    <n v="34333"/>
    <n v="21532.84736"/>
    <n v="12800.15264"/>
    <n v="0.37282359945242188"/>
  </r>
  <r>
    <x v="25"/>
    <s v="East"/>
    <s v="Printer"/>
    <s v="David"/>
    <n v="10"/>
    <n v="576"/>
    <x v="1"/>
    <n v="5760"/>
    <n v="4066.1242400000001"/>
    <n v="1693.8757599999999"/>
    <n v="0.29407565277777775"/>
  </r>
  <r>
    <x v="309"/>
    <s v="East"/>
    <s v="Mobile"/>
    <s v="Hannah"/>
    <n v="12"/>
    <n v="1038"/>
    <x v="2"/>
    <n v="12456"/>
    <n v="7496.7044509999996"/>
    <n v="4959.2955490000004"/>
    <n v="0.39814511472382791"/>
  </r>
  <r>
    <x v="112"/>
    <s v="East"/>
    <s v="Unknown"/>
    <s v="Charlie"/>
    <n v="4"/>
    <n v="500"/>
    <x v="1"/>
    <n v="2000"/>
    <n v="1496.3923589999999"/>
    <n v="503.60764069999999"/>
    <n v="0.25180382034999998"/>
  </r>
  <r>
    <x v="104"/>
    <s v="East"/>
    <s v="Smartwatch"/>
    <s v="Hannah"/>
    <n v="18"/>
    <n v="907"/>
    <x v="0"/>
    <n v="16326"/>
    <n v="11562.087879999999"/>
    <n v="4763.9121180000002"/>
    <n v="0.2917991006982727"/>
  </r>
  <r>
    <x v="198"/>
    <s v="West"/>
    <s v="Smartwatch"/>
    <s v="David"/>
    <n v="16"/>
    <n v="276"/>
    <x v="0"/>
    <n v="4416"/>
    <n v="3385.448637"/>
    <n v="1030.551363"/>
    <n v="0.23336760937500001"/>
  </r>
  <r>
    <x v="145"/>
    <s v="West"/>
    <s v="Camera"/>
    <s v="Hannah"/>
    <n v="8"/>
    <n v="1464"/>
    <x v="2"/>
    <n v="11712"/>
    <n v="9559.8915209999996"/>
    <n v="2152.108479"/>
    <n v="0.18375243160860655"/>
  </r>
  <r>
    <x v="308"/>
    <s v="North"/>
    <s v="Headphones"/>
    <s v="Frank"/>
    <n v="4"/>
    <n v="156"/>
    <x v="0"/>
    <n v="624"/>
    <n v="421.38211109999997"/>
    <n v="202.6178889"/>
    <n v="0.32470815528846153"/>
  </r>
  <r>
    <x v="36"/>
    <s v="South"/>
    <s v="Printer"/>
    <s v="David"/>
    <n v="12"/>
    <n v="1978"/>
    <x v="1"/>
    <n v="23736"/>
    <n v="15360.161239999999"/>
    <n v="8375.8387619999994"/>
    <n v="0.35287490571284125"/>
  </r>
  <r>
    <x v="193"/>
    <s v="East"/>
    <s v="Mobile"/>
    <s v="Eva"/>
    <n v="2"/>
    <n v="1975"/>
    <x v="2"/>
    <n v="3950"/>
    <n v="2699.4934640000001"/>
    <n v="1250.5065360000001"/>
    <n v="0.31658393316455696"/>
  </r>
  <r>
    <x v="144"/>
    <s v="North"/>
    <s v="Headphones"/>
    <s v="Bob"/>
    <n v="4"/>
    <n v="547"/>
    <x v="0"/>
    <n v="2188"/>
    <n v="1313.957353"/>
    <n v="874.04264739999996"/>
    <n v="0.39947104542961609"/>
  </r>
  <r>
    <x v="191"/>
    <s v="North"/>
    <s v="Printer"/>
    <s v="David"/>
    <n v="5"/>
    <n v="302"/>
    <x v="1"/>
    <n v="1510"/>
    <n v="960.36586890000001"/>
    <n v="549.63413109999999"/>
    <n v="0.36399611331125825"/>
  </r>
  <r>
    <x v="298"/>
    <s v="North"/>
    <s v="Mobile"/>
    <s v="Hannah"/>
    <n v="3"/>
    <n v="1820"/>
    <x v="2"/>
    <n v="5460"/>
    <n v="4505.8601360000002"/>
    <n v="954.1398643"/>
    <n v="0.1747508908974359"/>
  </r>
  <r>
    <x v="89"/>
    <s v="West"/>
    <s v="Headphones"/>
    <s v="Eva"/>
    <n v="9"/>
    <n v="1756"/>
    <x v="0"/>
    <n v="15804"/>
    <n v="10538.7718"/>
    <n v="5265.2281990000001"/>
    <n v="0.33315794729182485"/>
  </r>
  <r>
    <x v="14"/>
    <s v="East"/>
    <s v="Smartwatch"/>
    <s v="Bob"/>
    <n v="18"/>
    <n v="837"/>
    <x v="0"/>
    <n v="15066"/>
    <n v="13533.635480000001"/>
    <n v="1532.364515"/>
    <n v="0.10171010984999336"/>
  </r>
  <r>
    <x v="20"/>
    <s v="East"/>
    <s v="Smartwatch"/>
    <s v="Grace"/>
    <n v="11"/>
    <n v="301"/>
    <x v="0"/>
    <n v="3311"/>
    <n v="2153.3070499999999"/>
    <n v="1157.6929500000001"/>
    <n v="0.34965054364240417"/>
  </r>
  <r>
    <x v="139"/>
    <s v="South"/>
    <s v="Monitor"/>
    <s v="Charlie"/>
    <n v="3"/>
    <n v="1453"/>
    <x v="1"/>
    <n v="4359"/>
    <n v="3646.8767720000001"/>
    <n v="712.12322759999995"/>
    <n v="0.16336848534067447"/>
  </r>
  <r>
    <x v="289"/>
    <s v="East"/>
    <s v="Laptop"/>
    <s v="Frank"/>
    <n v="2"/>
    <n v="462"/>
    <x v="2"/>
    <n v="924"/>
    <n v="749.83832759999996"/>
    <n v="174.16167239999999"/>
    <n v="0.18848665844155843"/>
  </r>
  <r>
    <x v="174"/>
    <s v="East"/>
    <s v="Monitor"/>
    <s v="Hannah"/>
    <n v="9"/>
    <n v="991"/>
    <x v="1"/>
    <n v="8919"/>
    <n v="6213.3289750000004"/>
    <n v="2705.6710250000001"/>
    <n v="0.30336035710281423"/>
  </r>
  <r>
    <x v="195"/>
    <s v="North"/>
    <s v="Tablet"/>
    <s v="Hannah"/>
    <n v="14"/>
    <n v="553"/>
    <x v="2"/>
    <n v="7742"/>
    <n v="5413.3747350000003"/>
    <n v="2328.6252650000001"/>
    <n v="0.30077825691035909"/>
  </r>
  <r>
    <x v="232"/>
    <s v="South"/>
    <s v="Monitor"/>
    <s v="Grace"/>
    <n v="4"/>
    <n v="455"/>
    <x v="1"/>
    <n v="1820"/>
    <n v="1399.699163"/>
    <n v="420.30083680000001"/>
    <n v="0.23093452571428572"/>
  </r>
  <r>
    <x v="140"/>
    <s v="West"/>
    <s v="Camera"/>
    <s v="Grace"/>
    <n v="13"/>
    <n v="1071"/>
    <x v="2"/>
    <n v="13923"/>
    <n v="9966.8642469999995"/>
    <n v="3956.135753"/>
    <n v="0.28414391675644618"/>
  </r>
  <r>
    <x v="232"/>
    <s v="East"/>
    <s v="Headphones"/>
    <s v="Alice"/>
    <n v="18"/>
    <n v="654"/>
    <x v="0"/>
    <n v="11772"/>
    <n v="7279.2628670000004"/>
    <n v="4492.7371329999996"/>
    <n v="0.38164603576282702"/>
  </r>
  <r>
    <x v="201"/>
    <s v="North"/>
    <s v="Camera"/>
    <s v="Grace"/>
    <n v="15"/>
    <n v="986"/>
    <x v="2"/>
    <n v="14790"/>
    <n v="10535.29789"/>
    <n v="4254.7021119999999"/>
    <n v="0.287674246923597"/>
  </r>
  <r>
    <x v="143"/>
    <s v="West"/>
    <s v="Laptop"/>
    <s v="Eva"/>
    <n v="10"/>
    <n v="122"/>
    <x v="2"/>
    <n v="1220"/>
    <n v="807.87643839999998"/>
    <n v="412.12356160000002"/>
    <n v="0.33780619803278689"/>
  </r>
  <r>
    <x v="234"/>
    <s v="Unknown"/>
    <s v="Tablet"/>
    <s v="Bob"/>
    <n v="16"/>
    <n v="254"/>
    <x v="2"/>
    <n v="4064"/>
    <n v="3583.4811949999998"/>
    <n v="480.5188048"/>
    <n v="0.11823789488188977"/>
  </r>
  <r>
    <x v="329"/>
    <s v="East"/>
    <s v="Headphones"/>
    <s v="Hannah"/>
    <n v="12"/>
    <n v="1309"/>
    <x v="0"/>
    <n v="15708"/>
    <n v="12710.635630000001"/>
    <n v="2997.3643699999998"/>
    <n v="0.19081769607843135"/>
  </r>
  <r>
    <x v="152"/>
    <s v="West"/>
    <s v="Mobile"/>
    <s v="Grace"/>
    <n v="5"/>
    <n v="348"/>
    <x v="2"/>
    <n v="1740"/>
    <n v="1070.5346509999999"/>
    <n v="669.46534929999996"/>
    <n v="0.3847502007471264"/>
  </r>
  <r>
    <x v="125"/>
    <s v="South"/>
    <s v="Printer"/>
    <s v="Hannah"/>
    <n v="2"/>
    <n v="848"/>
    <x v="1"/>
    <n v="1696"/>
    <n v="1166.672568"/>
    <n v="529.32743219999998"/>
    <n v="0.31210343879716979"/>
  </r>
  <r>
    <x v="330"/>
    <s v="South"/>
    <s v="Tablet"/>
    <s v="David"/>
    <n v="10"/>
    <n v="904"/>
    <x v="2"/>
    <n v="9040"/>
    <n v="5560.1856969999999"/>
    <n v="3479.8143030000001"/>
    <n v="0.38493521050884955"/>
  </r>
  <r>
    <x v="331"/>
    <s v="West"/>
    <s v="Smartwatch"/>
    <s v="Charlie"/>
    <n v="1"/>
    <n v="233"/>
    <x v="0"/>
    <n v="233"/>
    <n v="197.8181653"/>
    <n v="35.181834739999999"/>
    <n v="0.15099499888412016"/>
  </r>
  <r>
    <x v="298"/>
    <s v="West"/>
    <s v="Laptop"/>
    <s v="Grace"/>
    <n v="7"/>
    <n v="420"/>
    <x v="2"/>
    <n v="2940"/>
    <n v="2563.3534260000001"/>
    <n v="376.64657349999999"/>
    <n v="0.12811107942176869"/>
  </r>
  <r>
    <x v="121"/>
    <s v="North"/>
    <s v="Tablet"/>
    <s v="Bob"/>
    <n v="17"/>
    <n v="489"/>
    <x v="2"/>
    <n v="8313"/>
    <n v="5267.8141089999999"/>
    <n v="3045.1858910000001"/>
    <n v="0.36631611824852639"/>
  </r>
  <r>
    <x v="206"/>
    <s v="West"/>
    <s v="Printer"/>
    <s v="Eva"/>
    <n v="16"/>
    <n v="533"/>
    <x v="1"/>
    <n v="8528"/>
    <n v="6243.2380540000004"/>
    <n v="2284.7619460000001"/>
    <n v="0.26791298616322701"/>
  </r>
  <r>
    <x v="198"/>
    <s v="North"/>
    <s v="Monitor"/>
    <s v="Alice"/>
    <n v="3"/>
    <n v="1145"/>
    <x v="1"/>
    <n v="3435"/>
    <n v="3021.3057220000001"/>
    <n v="413.69427810000002"/>
    <n v="0.12043501545851529"/>
  </r>
  <r>
    <x v="226"/>
    <s v="East"/>
    <s v="Tablet"/>
    <s v="Hannah"/>
    <n v="14"/>
    <n v="972"/>
    <x v="2"/>
    <n v="13608"/>
    <n v="8757.6121899999998"/>
    <n v="4850.3878100000002"/>
    <n v="0.35643649397413285"/>
  </r>
  <r>
    <x v="148"/>
    <s v="North"/>
    <s v="Monitor"/>
    <s v="Charlie"/>
    <n v="10"/>
    <n v="1723"/>
    <x v="1"/>
    <n v="17230"/>
    <n v="11846.84966"/>
    <n v="5383.1503400000001"/>
    <n v="0.31242892280905399"/>
  </r>
  <r>
    <x v="179"/>
    <s v="West"/>
    <s v="Printer"/>
    <s v="Frank"/>
    <n v="7"/>
    <n v="1788"/>
    <x v="1"/>
    <n v="12516"/>
    <n v="8652.0904559999999"/>
    <n v="3863.9095440000001"/>
    <n v="0.3087176049856184"/>
  </r>
  <r>
    <x v="195"/>
    <s v="West"/>
    <s v="Smartwatch"/>
    <s v="Bob"/>
    <n v="17"/>
    <n v="1248"/>
    <x v="0"/>
    <n v="21216"/>
    <n v="12920.915150000001"/>
    <n v="8295.0848540000006"/>
    <n v="0.39098250631598797"/>
  </r>
  <r>
    <x v="314"/>
    <s v="East"/>
    <s v="Headphones"/>
    <s v="Frank"/>
    <n v="6"/>
    <n v="1202"/>
    <x v="0"/>
    <n v="7212"/>
    <n v="4405.6807710000003"/>
    <n v="2806.3192290000002"/>
    <n v="0.38911802953410984"/>
  </r>
  <r>
    <x v="130"/>
    <s v="West"/>
    <s v="Mobile"/>
    <s v="Bob"/>
    <n v="4"/>
    <n v="957"/>
    <x v="2"/>
    <n v="3828"/>
    <n v="3390.9872829999999"/>
    <n v="437.01271739999999"/>
    <n v="0.11416215188087774"/>
  </r>
  <r>
    <x v="244"/>
    <s v="West"/>
    <s v="Smartwatch"/>
    <s v="Bob"/>
    <n v="17"/>
    <n v="150"/>
    <x v="0"/>
    <n v="2550"/>
    <n v="1966.8858459999999"/>
    <n v="583.11415409999995"/>
    <n v="0.22867221729411763"/>
  </r>
  <r>
    <x v="250"/>
    <s v="South"/>
    <s v="Monitor"/>
    <s v="Eva"/>
    <n v="9"/>
    <n v="1851"/>
    <x v="1"/>
    <n v="16659"/>
    <n v="11527.936320000001"/>
    <n v="5131.0636839999997"/>
    <n v="0.30800550357164291"/>
  </r>
  <r>
    <x v="98"/>
    <s v="South"/>
    <s v="Monitor"/>
    <s v="Eva"/>
    <n v="4"/>
    <n v="275"/>
    <x v="1"/>
    <n v="1100"/>
    <n v="784.96263799999997"/>
    <n v="315.03736199999997"/>
    <n v="0.2863976018181818"/>
  </r>
  <r>
    <x v="183"/>
    <s v="East"/>
    <s v="Mobile"/>
    <s v="Eva"/>
    <n v="7"/>
    <n v="969"/>
    <x v="2"/>
    <n v="6783"/>
    <n v="5524.4338760000001"/>
    <n v="1258.5661239999999"/>
    <n v="0.18554712133274362"/>
  </r>
  <r>
    <x v="154"/>
    <s v="South"/>
    <s v="Tablet"/>
    <s v="David"/>
    <n v="17"/>
    <n v="1065"/>
    <x v="2"/>
    <n v="18105"/>
    <n v="12100.08063"/>
    <n v="6004.919371"/>
    <n v="0.33167187909417289"/>
  </r>
  <r>
    <x v="216"/>
    <s v="North"/>
    <s v="Unknown"/>
    <s v="Bob"/>
    <n v="8"/>
    <n v="1369"/>
    <x v="2"/>
    <n v="10952"/>
    <n v="6905.7967699999999"/>
    <n v="4046.2032300000001"/>
    <n v="0.36944879747991233"/>
  </r>
  <r>
    <x v="326"/>
    <s v="South"/>
    <s v="Laptop"/>
    <s v="Frank"/>
    <n v="15"/>
    <n v="1229"/>
    <x v="2"/>
    <n v="18435"/>
    <n v="12059.614820000001"/>
    <n v="6375.3851750000003"/>
    <n v="0.34583049498237051"/>
  </r>
  <r>
    <x v="279"/>
    <s v="East"/>
    <s v="Printer"/>
    <s v="Eva"/>
    <n v="8"/>
    <n v="0"/>
    <x v="1"/>
    <n v="0"/>
    <n v="0"/>
    <n v="0"/>
    <n v="0"/>
  </r>
  <r>
    <x v="163"/>
    <s v="East"/>
    <s v="Smartwatch"/>
    <s v="Grace"/>
    <n v="16"/>
    <n v="1439"/>
    <x v="0"/>
    <n v="23024"/>
    <n v="16763.459750000002"/>
    <n v="6260.5402539999995"/>
    <n v="0.27191366634815844"/>
  </r>
  <r>
    <x v="244"/>
    <s v="East"/>
    <s v="Monitor"/>
    <s v="Eva"/>
    <n v="19"/>
    <n v="401"/>
    <x v="1"/>
    <n v="7619"/>
    <n v="4661.8473469999999"/>
    <n v="2957.1526530000001"/>
    <n v="0.38812871151069694"/>
  </r>
  <r>
    <x v="153"/>
    <s v="South"/>
    <s v="Headphones"/>
    <s v="Frank"/>
    <n v="11"/>
    <n v="647"/>
    <x v="0"/>
    <n v="7117"/>
    <n v="6330.5673539999998"/>
    <n v="786.4326456"/>
    <n v="0.1105005824926233"/>
  </r>
  <r>
    <x v="239"/>
    <s v="North"/>
    <s v="Printer"/>
    <s v="Frank"/>
    <n v="2"/>
    <n v="815"/>
    <x v="1"/>
    <n v="1630"/>
    <n v="1284.746261"/>
    <n v="345.25373889999997"/>
    <n v="0.21181210975460121"/>
  </r>
  <r>
    <x v="303"/>
    <s v="West"/>
    <s v="Smartwatch"/>
    <s v="Hannah"/>
    <n v="17"/>
    <n v="878"/>
    <x v="0"/>
    <n v="14926"/>
    <n v="9639.3457780000008"/>
    <n v="5286.6542220000001"/>
    <n v="0.35419095685381213"/>
  </r>
  <r>
    <x v="134"/>
    <s v="North"/>
    <s v="Smartwatch"/>
    <s v="Bob"/>
    <n v="16"/>
    <n v="367"/>
    <x v="0"/>
    <n v="5872"/>
    <n v="3826.9951190000002"/>
    <n v="2045.0048810000001"/>
    <n v="0.34826377401226161"/>
  </r>
  <r>
    <x v="221"/>
    <s v="North"/>
    <s v="Printer"/>
    <s v="Eva"/>
    <n v="15"/>
    <n v="1293"/>
    <x v="1"/>
    <n v="19395"/>
    <n v="14952.54701"/>
    <n v="4442.452988"/>
    <n v="0.22905145594225315"/>
  </r>
  <r>
    <x v="146"/>
    <s v="West"/>
    <s v="Camera"/>
    <s v="Frank"/>
    <n v="13"/>
    <n v="1109"/>
    <x v="2"/>
    <n v="14417"/>
    <n v="10192.38256"/>
    <n v="4224.6174430000001"/>
    <n v="0.29303027280294097"/>
  </r>
  <r>
    <x v="177"/>
    <s v="West"/>
    <s v="Smartwatch"/>
    <s v="David"/>
    <n v="15"/>
    <n v="650"/>
    <x v="0"/>
    <n v="9750"/>
    <n v="8114.730227"/>
    <n v="1635.269773"/>
    <n v="0.16771997671794872"/>
  </r>
  <r>
    <x v="233"/>
    <s v="South"/>
    <s v="Camera"/>
    <s v="David"/>
    <n v="4"/>
    <n v="1578"/>
    <x v="2"/>
    <n v="6312"/>
    <n v="4820.7391610000004"/>
    <n v="1491.260839"/>
    <n v="0.23625805434093791"/>
  </r>
  <r>
    <x v="292"/>
    <s v="South"/>
    <s v="Laptop"/>
    <s v="Eva"/>
    <n v="16"/>
    <n v="1774"/>
    <x v="2"/>
    <n v="28384"/>
    <n v="20720.324619999999"/>
    <n v="7663.6753829999998"/>
    <n v="0.26999983733793687"/>
  </r>
  <r>
    <x v="265"/>
    <s v="South"/>
    <s v="Laptop"/>
    <s v="Grace"/>
    <n v="12"/>
    <n v="1415"/>
    <x v="2"/>
    <n v="16980"/>
    <n v="15093.42138"/>
    <n v="1886.578616"/>
    <n v="0.11110592555948175"/>
  </r>
  <r>
    <x v="223"/>
    <s v="South"/>
    <s v="Smartwatch"/>
    <s v="Frank"/>
    <n v="4"/>
    <n v="1687"/>
    <x v="0"/>
    <n v="6748"/>
    <n v="4839.7919009999996"/>
    <n v="1908.2080989999999"/>
    <n v="0.28278128319502072"/>
  </r>
  <r>
    <x v="36"/>
    <s v="South"/>
    <s v="Laptop"/>
    <s v="Hannah"/>
    <n v="3"/>
    <n v="1922"/>
    <x v="2"/>
    <n v="5766"/>
    <n v="4152.5767759999999"/>
    <n v="1613.4232239999999"/>
    <n v="0.27981672285813386"/>
  </r>
  <r>
    <x v="190"/>
    <s v="West"/>
    <s v="Headphones"/>
    <s v="Bob"/>
    <n v="17"/>
    <n v="1924"/>
    <x v="0"/>
    <n v="32708"/>
    <n v="26157.6253"/>
    <n v="6550.3746959999999"/>
    <n v="0.20026827369450897"/>
  </r>
  <r>
    <x v="100"/>
    <s v="North"/>
    <s v="Camera"/>
    <s v="Bob"/>
    <n v="18"/>
    <n v="1264"/>
    <x v="2"/>
    <n v="22752"/>
    <n v="19176.37702"/>
    <n v="3575.6229760000001"/>
    <n v="0.15715642475386779"/>
  </r>
  <r>
    <x v="87"/>
    <s v="South"/>
    <s v="Camera"/>
    <s v="Grace"/>
    <n v="18"/>
    <n v="1269"/>
    <x v="2"/>
    <n v="22842"/>
    <n v="17996.400850000002"/>
    <n v="4845.5991540000005"/>
    <n v="0.21213550275807724"/>
  </r>
  <r>
    <x v="332"/>
    <s v="South"/>
    <s v="Smartwatch"/>
    <s v="Hannah"/>
    <n v="17"/>
    <n v="1548"/>
    <x v="0"/>
    <n v="26316"/>
    <n v="21304.987980000002"/>
    <n v="5011.0120189999998"/>
    <n v="0.1904169333865329"/>
  </r>
  <r>
    <x v="333"/>
    <s v="North"/>
    <s v="Laptop"/>
    <s v="Bob"/>
    <n v="12"/>
    <n v="413"/>
    <x v="2"/>
    <n v="4956"/>
    <n v="3528.0746559999998"/>
    <n v="1427.925344"/>
    <n v="0.28812052945924133"/>
  </r>
  <r>
    <x v="138"/>
    <s v="South"/>
    <s v="Unknown"/>
    <s v="Hannah"/>
    <n v="4"/>
    <n v="283"/>
    <x v="2"/>
    <n v="1132"/>
    <n v="842.03712570000005"/>
    <n v="289.96287430000001"/>
    <n v="0.25615094902826857"/>
  </r>
  <r>
    <x v="21"/>
    <s v="North"/>
    <s v="Monitor"/>
    <s v="Alice"/>
    <n v="12"/>
    <n v="1787"/>
    <x v="1"/>
    <n v="21444"/>
    <n v="14133.966119999999"/>
    <n v="7310.0338819999997"/>
    <n v="0.34088947407200149"/>
  </r>
  <r>
    <x v="259"/>
    <s v="westt"/>
    <s v="Printer"/>
    <s v="Eva"/>
    <n v="15"/>
    <n v="812"/>
    <x v="1"/>
    <n v="12180"/>
    <n v="9793.6206770000008"/>
    <n v="2386.3793230000001"/>
    <n v="0.19592605279146141"/>
  </r>
  <r>
    <x v="256"/>
    <s v="West"/>
    <s v="Printer"/>
    <s v="Bob"/>
    <n v="16"/>
    <n v="227"/>
    <x v="1"/>
    <n v="3632"/>
    <n v="2420.4940339999998"/>
    <n v="1211.5059659999999"/>
    <n v="0.33356441795154185"/>
  </r>
  <r>
    <x v="90"/>
    <s v="East"/>
    <s v="Camera"/>
    <s v="David"/>
    <n v="5"/>
    <n v="1410"/>
    <x v="2"/>
    <n v="7050"/>
    <n v="4232.6581219999998"/>
    <n v="2817.3418780000002"/>
    <n v="0.39962296141843973"/>
  </r>
  <r>
    <x v="319"/>
    <s v="West"/>
    <s v="Smartwatch"/>
    <s v="Frank"/>
    <n v="15"/>
    <n v="1946"/>
    <x v="0"/>
    <n v="29190"/>
    <n v="25690.954880000001"/>
    <n v="3499.0451170000001"/>
    <n v="0.11987136406303529"/>
  </r>
  <r>
    <x v="101"/>
    <s v="East"/>
    <s v="Smartwatch"/>
    <s v="Hannah"/>
    <n v="17"/>
    <n v="1376"/>
    <x v="0"/>
    <n v="23392"/>
    <n v="16182.69256"/>
    <n v="7209.3074429999997"/>
    <n v="0.30819542762482899"/>
  </r>
  <r>
    <x v="122"/>
    <s v="East"/>
    <s v="Headphones"/>
    <s v="Hannah"/>
    <n v="18"/>
    <n v="1901"/>
    <x v="0"/>
    <n v="34218"/>
    <n v="22549.306570000001"/>
    <n v="11668.693429999999"/>
    <n v="0.34101038722309895"/>
  </r>
  <r>
    <x v="260"/>
    <s v="East"/>
    <s v="Tablet"/>
    <s v="Charlie"/>
    <n v="5"/>
    <n v="799"/>
    <x v="2"/>
    <n v="3995"/>
    <n v="2718.373857"/>
    <n v="1276.626143"/>
    <n v="0.31955598072590735"/>
  </r>
  <r>
    <x v="147"/>
    <s v="South"/>
    <s v="Monitor"/>
    <s v="Grace"/>
    <n v="13"/>
    <n v="485"/>
    <x v="1"/>
    <n v="6305"/>
    <n v="4408.0418200000004"/>
    <n v="1896.9581800000001"/>
    <n v="0.30086569072164948"/>
  </r>
  <r>
    <x v="274"/>
    <s v="West"/>
    <s v="Tablet"/>
    <s v="Charlie"/>
    <n v="19"/>
    <n v="1353"/>
    <x v="2"/>
    <n v="25707"/>
    <n v="19083.949499999999"/>
    <n v="6623.0505050000002"/>
    <n v="0.25763607208153422"/>
  </r>
  <r>
    <x v="222"/>
    <s v="East"/>
    <s v="Camera"/>
    <s v="Bob"/>
    <n v="13"/>
    <n v="370"/>
    <x v="2"/>
    <n v="4810"/>
    <n v="2986.0744610000002"/>
    <n v="1823.9255390000001"/>
    <n v="0.37919449875259875"/>
  </r>
  <r>
    <x v="238"/>
    <s v="North"/>
    <s v="Printer"/>
    <s v="Charlie"/>
    <n v="18"/>
    <n v="1894"/>
    <x v="1"/>
    <n v="34092"/>
    <n v="20993.919969999999"/>
    <n v="13098.080029999999"/>
    <n v="0.38419805320896394"/>
  </r>
  <r>
    <x v="104"/>
    <s v="South"/>
    <s v="Headphones"/>
    <s v="Charlie"/>
    <n v="14"/>
    <n v="910"/>
    <x v="0"/>
    <n v="12740"/>
    <n v="8763.5049459999991"/>
    <n v="3976.495054"/>
    <n v="0.31212677032967034"/>
  </r>
  <r>
    <x v="39"/>
    <s v="West"/>
    <s v="Headphones"/>
    <s v="Alice"/>
    <n v="4"/>
    <n v="514"/>
    <x v="0"/>
    <n v="2056"/>
    <n v="1416.02855"/>
    <n v="639.97145030000001"/>
    <n v="0.311270160651751"/>
  </r>
  <r>
    <x v="213"/>
    <s v="East"/>
    <s v="Headphones"/>
    <s v="Hannah"/>
    <n v="4"/>
    <n v="297"/>
    <x v="0"/>
    <n v="1188"/>
    <n v="754.7291156"/>
    <n v="433.2708844"/>
    <n v="0.36470613164983168"/>
  </r>
  <r>
    <x v="46"/>
    <s v="North"/>
    <s v="Camera"/>
    <s v="David"/>
    <n v="19"/>
    <n v="1446"/>
    <x v="2"/>
    <n v="27474"/>
    <n v="19820.773280000001"/>
    <n v="7653.226721"/>
    <n v="0.27856252169323725"/>
  </r>
  <r>
    <x v="190"/>
    <s v="West"/>
    <s v="Tablet"/>
    <s v="Grace"/>
    <n v="13"/>
    <n v="1179"/>
    <x v="2"/>
    <n v="15327"/>
    <n v="10502.192220000001"/>
    <n v="4824.8077810000004"/>
    <n v="0.3147913995563385"/>
  </r>
  <r>
    <x v="250"/>
    <s v="West"/>
    <s v="Printer"/>
    <s v="David"/>
    <n v="12"/>
    <n v="930"/>
    <x v="1"/>
    <n v="11160"/>
    <n v="6783.2339910000001"/>
    <n v="4376.7660089999999"/>
    <n v="0.39218333413978496"/>
  </r>
  <r>
    <x v="201"/>
    <s v="South"/>
    <s v="Headphones"/>
    <s v="Alice"/>
    <n v="7"/>
    <n v="1326"/>
    <x v="0"/>
    <n v="9282"/>
    <n v="8035.5780850000001"/>
    <n v="1246.4219149999999"/>
    <n v="0.13428376589097177"/>
  </r>
  <r>
    <x v="229"/>
    <s v="West"/>
    <s v="Printer"/>
    <s v="Alice"/>
    <n v="12"/>
    <n v="1906"/>
    <x v="1"/>
    <n v="22872"/>
    <n v="19802.70809"/>
    <n v="3069.2919059999999"/>
    <n v="0.13419429459601259"/>
  </r>
  <r>
    <x v="246"/>
    <s v="South"/>
    <s v="Laptop"/>
    <s v="Charlie"/>
    <n v="4"/>
    <n v="1744"/>
    <x v="2"/>
    <n v="6976"/>
    <n v="4623.3766189999997"/>
    <n v="2352.6233809999999"/>
    <n v="0.33724532411123853"/>
  </r>
  <r>
    <x v="140"/>
    <s v="East"/>
    <s v="Smartwatch"/>
    <s v="Eva"/>
    <n v="2"/>
    <n v="727"/>
    <x v="0"/>
    <n v="1454"/>
    <n v="943.44486589999997"/>
    <n v="510.55513409999998"/>
    <n v="0.35113833156808799"/>
  </r>
  <r>
    <x v="25"/>
    <s v="South"/>
    <s v="Smartwatch"/>
    <s v="Hannah"/>
    <n v="2"/>
    <n v="703"/>
    <x v="0"/>
    <n v="1406"/>
    <n v="1074.4480880000001"/>
    <n v="331.55191200000002"/>
    <n v="0.23581217069701282"/>
  </r>
  <r>
    <x v="334"/>
    <s v="North"/>
    <s v="Printer"/>
    <s v="Frank"/>
    <n v="5"/>
    <n v="1261"/>
    <x v="1"/>
    <n v="6305"/>
    <n v="4976.0702510000001"/>
    <n v="1328.9297489999999"/>
    <n v="0.21077394908802535"/>
  </r>
  <r>
    <x v="329"/>
    <s v="South"/>
    <s v="Mobile"/>
    <s v="Hannah"/>
    <n v="10"/>
    <n v="1545"/>
    <x v="2"/>
    <n v="15450"/>
    <n v="13708.20975"/>
    <n v="1741.790246"/>
    <n v="0.11273723275080906"/>
  </r>
  <r>
    <x v="247"/>
    <s v="North"/>
    <s v="Mobile"/>
    <s v="Frank"/>
    <n v="10"/>
    <n v="1938"/>
    <x v="2"/>
    <n v="19380"/>
    <n v="13821.90393"/>
    <n v="5558.0960729999997"/>
    <n v="0.28679546300309594"/>
  </r>
  <r>
    <x v="51"/>
    <s v="South"/>
    <s v="Camera"/>
    <s v="unknown"/>
    <n v="9"/>
    <n v="0"/>
    <x v="2"/>
    <n v="0"/>
    <n v="0"/>
    <n v="0"/>
    <n v="0"/>
  </r>
  <r>
    <x v="292"/>
    <s v="West"/>
    <s v="Camera"/>
    <s v="Frank"/>
    <n v="13"/>
    <n v="1685"/>
    <x v="2"/>
    <n v="21905"/>
    <n v="18913.96674"/>
    <n v="2991.033257"/>
    <n v="0.13654568623601918"/>
  </r>
  <r>
    <x v="70"/>
    <s v="East"/>
    <s v="Smartwatch"/>
    <s v="Alice"/>
    <n v="7"/>
    <n v="1109"/>
    <x v="0"/>
    <n v="7763"/>
    <n v="5705.6973719999996"/>
    <n v="2057.3026279999999"/>
    <n v="0.26501386422774698"/>
  </r>
  <r>
    <x v="36"/>
    <s v="North"/>
    <s v="Laptop"/>
    <s v="David"/>
    <n v="5"/>
    <n v="170"/>
    <x v="2"/>
    <n v="850"/>
    <n v="541.19816649999996"/>
    <n v="308.80183349999999"/>
    <n v="0.36329627470588233"/>
  </r>
  <r>
    <x v="175"/>
    <s v="South"/>
    <s v="Monitor"/>
    <s v="Frank"/>
    <n v="10"/>
    <n v="1010"/>
    <x v="1"/>
    <n v="10100"/>
    <n v="7203.6652759999997"/>
    <n v="2896.3347239999998"/>
    <n v="0.2867658142574257"/>
  </r>
  <r>
    <x v="36"/>
    <s v="South"/>
    <s v="Tablet"/>
    <s v="Hannah"/>
    <n v="10"/>
    <n v="693"/>
    <x v="2"/>
    <n v="6930"/>
    <n v="4441.9226410000001"/>
    <n v="2488.0773589999999"/>
    <n v="0.35902992193362193"/>
  </r>
  <r>
    <x v="1"/>
    <s v="South"/>
    <s v="Tablet"/>
    <s v="Grace"/>
    <n v="6"/>
    <n v="1495"/>
    <x v="2"/>
    <n v="8970"/>
    <n v="5426.7767979999999"/>
    <n v="3543.2232020000001"/>
    <n v="0.39500816075808254"/>
  </r>
  <r>
    <x v="94"/>
    <s v="West"/>
    <s v="Camera"/>
    <s v="Charlie"/>
    <n v="19"/>
    <n v="1740"/>
    <x v="2"/>
    <n v="33060"/>
    <n v="27289.90321"/>
    <n v="5770.0967870000004"/>
    <n v="0.17453408309134907"/>
  </r>
  <r>
    <x v="169"/>
    <s v="West"/>
    <s v="Laptop"/>
    <s v="Eva"/>
    <n v="8"/>
    <n v="699"/>
    <x v="2"/>
    <n v="5592"/>
    <n v="3755.1795999999999"/>
    <n v="1836.8204000000001"/>
    <n v="0.32847288984263234"/>
  </r>
  <r>
    <x v="273"/>
    <s v="North"/>
    <s v="Camera"/>
    <s v="Charlie"/>
    <n v="1"/>
    <n v="613"/>
    <x v="2"/>
    <n v="613"/>
    <n v="368.16909570000001"/>
    <n v="244.83090429999999"/>
    <n v="0.39939788629690048"/>
  </r>
  <r>
    <x v="298"/>
    <s v="North"/>
    <s v="Monitor"/>
    <s v="Bob"/>
    <n v="17"/>
    <n v="1995"/>
    <x v="1"/>
    <n v="33915"/>
    <n v="29225.563020000001"/>
    <n v="4689.4369779999997"/>
    <n v="0.13827029273182956"/>
  </r>
  <r>
    <x v="65"/>
    <s v="West"/>
    <s v="Tablet"/>
    <s v="Charlie"/>
    <n v="7"/>
    <n v="183"/>
    <x v="2"/>
    <n v="1281"/>
    <n v="939.14805060000003"/>
    <n v="341.85194940000002"/>
    <n v="0.26686334847775178"/>
  </r>
  <r>
    <x v="43"/>
    <s v="North"/>
    <s v="Printer"/>
    <s v="Alice"/>
    <n v="14"/>
    <n v="1093"/>
    <x v="1"/>
    <n v="15302"/>
    <n v="10277.710160000001"/>
    <n v="5024.2898370000003"/>
    <n v="0.32834203613906682"/>
  </r>
  <r>
    <x v="132"/>
    <s v="East"/>
    <s v="Camera"/>
    <s v="David"/>
    <n v="17"/>
    <n v="1166"/>
    <x v="2"/>
    <n v="19822"/>
    <n v="13455.906849999999"/>
    <n v="6366.0931499999997"/>
    <n v="0.32116300827363536"/>
  </r>
  <r>
    <x v="335"/>
    <s v="East"/>
    <s v="Unknown"/>
    <s v="David"/>
    <n v="9"/>
    <n v="1789"/>
    <x v="0"/>
    <n v="16101"/>
    <n v="10822.47019"/>
    <n v="5278.5298140000004"/>
    <n v="0.32783863201043417"/>
  </r>
  <r>
    <x v="71"/>
    <s v="West"/>
    <s v="Printer"/>
    <s v="Grace"/>
    <n v="17"/>
    <n v="938"/>
    <x v="1"/>
    <n v="15946"/>
    <n v="10498.31776"/>
    <n v="5447.6822359999996"/>
    <n v="0.3416331516367741"/>
  </r>
  <r>
    <x v="141"/>
    <s v="North"/>
    <s v="Monitor"/>
    <s v="Frank"/>
    <n v="5"/>
    <n v="705"/>
    <x v="1"/>
    <n v="3525"/>
    <n v="3004.596732"/>
    <n v="520.40326749999997"/>
    <n v="0.14763213262411345"/>
  </r>
  <r>
    <x v="106"/>
    <s v="South"/>
    <s v="Monitor"/>
    <s v="Alice"/>
    <n v="8"/>
    <n v="909"/>
    <x v="1"/>
    <n v="7272"/>
    <n v="4734.795494"/>
    <n v="2537.204506"/>
    <n v="0.34890050962596258"/>
  </r>
  <r>
    <x v="276"/>
    <s v="East"/>
    <s v="Camera"/>
    <s v="Bob"/>
    <n v="6"/>
    <n v="232"/>
    <x v="2"/>
    <n v="1392"/>
    <n v="1069.830516"/>
    <n v="322.16948400000001"/>
    <n v="0.23144359482758622"/>
  </r>
  <r>
    <x v="311"/>
    <s v="West"/>
    <s v="Smartwatch"/>
    <s v="Alice"/>
    <n v="11"/>
    <n v="1518"/>
    <x v="0"/>
    <n v="16698"/>
    <n v="10406.12803"/>
    <n v="6291.8719659999997"/>
    <n v="0.3768039265780333"/>
  </r>
  <r>
    <x v="287"/>
    <s v="West"/>
    <s v="Smartwatch"/>
    <s v="Alice"/>
    <n v="4"/>
    <n v="389"/>
    <x v="0"/>
    <n v="1556"/>
    <n v="1215.2269309999999"/>
    <n v="340.7730694"/>
    <n v="0.21900582866323906"/>
  </r>
  <r>
    <x v="42"/>
    <s v="South"/>
    <s v="Monitor"/>
    <s v="Alice"/>
    <n v="18"/>
    <n v="475"/>
    <x v="1"/>
    <n v="8550"/>
    <n v="7446.5861910000003"/>
    <n v="1103.4138089999999"/>
    <n v="0.12905424666666665"/>
  </r>
  <r>
    <x v="73"/>
    <s v="East"/>
    <s v="Laptop"/>
    <s v="Grace"/>
    <n v="1"/>
    <n v="868"/>
    <x v="2"/>
    <n v="868"/>
    <n v="624.40737379999996"/>
    <n v="243.59262620000001"/>
    <n v="0.28063666612903226"/>
  </r>
  <r>
    <x v="112"/>
    <s v="West"/>
    <s v="Monitor"/>
    <s v="Bob"/>
    <n v="13"/>
    <n v="566"/>
    <x v="1"/>
    <n v="7358"/>
    <n v="6204.2774980000004"/>
    <n v="1153.7225020000001"/>
    <n v="0.15679838298450666"/>
  </r>
  <r>
    <x v="42"/>
    <s v="West"/>
    <s v="Tablet"/>
    <s v="Charlie"/>
    <n v="14"/>
    <n v="1336"/>
    <x v="2"/>
    <n v="18704"/>
    <n v="16012.426020000001"/>
    <n v="2691.573985"/>
    <n v="0.14390365616980325"/>
  </r>
  <r>
    <x v="70"/>
    <s v="West"/>
    <s v="Printer"/>
    <s v="Eva"/>
    <n v="1"/>
    <n v="1271"/>
    <x v="1"/>
    <n v="1271"/>
    <n v="1030.6345650000001"/>
    <n v="240.3654353"/>
    <n v="0.1891152126671912"/>
  </r>
  <r>
    <x v="94"/>
    <s v="South"/>
    <s v="Printer"/>
    <s v="Grace"/>
    <n v="11"/>
    <n v="1696"/>
    <x v="1"/>
    <n v="18656"/>
    <n v="11713.80838"/>
    <n v="6942.1916199999996"/>
    <n v="0.37211576007718694"/>
  </r>
  <r>
    <x v="336"/>
    <s v="West"/>
    <s v="Mobile"/>
    <s v="Eva"/>
    <n v="17"/>
    <n v="570"/>
    <x v="2"/>
    <n v="9690"/>
    <n v="5860.7448109999996"/>
    <n v="3829.255189"/>
    <n v="0.39517597409700722"/>
  </r>
  <r>
    <x v="180"/>
    <s v="South"/>
    <s v="Mobile"/>
    <s v="Grace"/>
    <n v="4"/>
    <n v="248"/>
    <x v="2"/>
    <n v="992"/>
    <n v="645.36335840000004"/>
    <n v="346.63664160000002"/>
    <n v="0.34943209838709677"/>
  </r>
  <r>
    <x v="44"/>
    <s v="South"/>
    <s v="Monitor"/>
    <s v="David"/>
    <n v="12"/>
    <n v="187"/>
    <x v="1"/>
    <n v="2244"/>
    <n v="1425.9027369999999"/>
    <n v="818.09726320000004"/>
    <n v="0.36457097290552587"/>
  </r>
  <r>
    <x v="209"/>
    <s v="South"/>
    <s v="Tablet"/>
    <s v="Hannah"/>
    <n v="10"/>
    <n v="1447"/>
    <x v="2"/>
    <n v="14470"/>
    <n v="11829.8226"/>
    <n v="2640.1774"/>
    <n v="0.18245870076019349"/>
  </r>
  <r>
    <x v="113"/>
    <s v="East"/>
    <s v="Mobile"/>
    <s v="Grace"/>
    <n v="6"/>
    <n v="495"/>
    <x v="2"/>
    <n v="2970"/>
    <n v="2278.2930769999998"/>
    <n v="691.70692280000003"/>
    <n v="0.23289795380471381"/>
  </r>
  <r>
    <x v="228"/>
    <s v="East"/>
    <s v="Printer"/>
    <s v="Frank"/>
    <n v="1"/>
    <n v="889"/>
    <x v="1"/>
    <n v="889"/>
    <n v="673.67109559999994"/>
    <n v="215.3289044"/>
    <n v="0.24221474060742407"/>
  </r>
  <r>
    <x v="337"/>
    <s v="West"/>
    <s v="Camera"/>
    <s v="Alice"/>
    <n v="7"/>
    <n v="1527"/>
    <x v="2"/>
    <n v="10689"/>
    <n v="7224.2695720000002"/>
    <n v="3464.7304279999998"/>
    <n v="0.32413980989802599"/>
  </r>
  <r>
    <x v="254"/>
    <s v="Unknown"/>
    <s v="Laptop"/>
    <s v="David"/>
    <n v="16"/>
    <n v="1205"/>
    <x v="2"/>
    <n v="19280"/>
    <n v="12462.24999"/>
    <n v="6817.750008"/>
    <n v="0.35361773900414939"/>
  </r>
  <r>
    <x v="86"/>
    <s v="East"/>
    <s v="Laptop"/>
    <s v="Bob"/>
    <n v="14"/>
    <n v="1764"/>
    <x v="2"/>
    <n v="24696"/>
    <n v="16347.872600000001"/>
    <n v="8348.1274020000001"/>
    <n v="0.33803560908649172"/>
  </r>
  <r>
    <x v="181"/>
    <s v="East"/>
    <s v="Monitor"/>
    <s v="Hannah"/>
    <n v="5"/>
    <n v="1505"/>
    <x v="1"/>
    <n v="7525"/>
    <n v="6185.8732890000001"/>
    <n v="1339.1267109999999"/>
    <n v="0.1779570380066445"/>
  </r>
  <r>
    <x v="236"/>
    <s v="South"/>
    <s v="Mobile"/>
    <s v="Hannah"/>
    <n v="18"/>
    <n v="964"/>
    <x v="2"/>
    <n v="17352"/>
    <n v="11736.111699999999"/>
    <n v="5615.888301"/>
    <n v="0.32364501504149379"/>
  </r>
  <r>
    <x v="134"/>
    <s v="East"/>
    <s v="Camera"/>
    <s v="Grace"/>
    <n v="15"/>
    <n v="1915"/>
    <x v="2"/>
    <n v="28725"/>
    <n v="23255.29754"/>
    <n v="5469.7024620000002"/>
    <n v="0.19041609963446476"/>
  </r>
  <r>
    <x v="15"/>
    <s v="South"/>
    <s v="Laptop"/>
    <s v="Alice"/>
    <n v="6"/>
    <n v="1393"/>
    <x v="2"/>
    <n v="8358"/>
    <n v="6247.2167380000001"/>
    <n v="2110.7832619999999"/>
    <n v="0.25254645393634839"/>
  </r>
  <r>
    <x v="180"/>
    <s v="West"/>
    <s v="Laptop"/>
    <s v="Bob"/>
    <n v="19"/>
    <n v="1415"/>
    <x v="2"/>
    <n v="26885"/>
    <n v="23272.523160000001"/>
    <n v="3612.4768359999998"/>
    <n v="0.134367745434257"/>
  </r>
  <r>
    <x v="180"/>
    <s v="North"/>
    <s v="Headphones"/>
    <s v="Frank"/>
    <n v="1"/>
    <n v="1576"/>
    <x v="0"/>
    <n v="1576"/>
    <n v="1055.722004"/>
    <n v="520.27799560000005"/>
    <n v="0.33012563172588838"/>
  </r>
  <r>
    <x v="168"/>
    <s v="West"/>
    <s v="Monitor"/>
    <s v="Bob"/>
    <n v="1"/>
    <n v="1838"/>
    <x v="1"/>
    <n v="1838"/>
    <n v="1351.4023749999999"/>
    <n v="486.59762519999998"/>
    <n v="0.26474299521218714"/>
  </r>
  <r>
    <x v="139"/>
    <s v="South"/>
    <s v="Headphones"/>
    <s v="Alice"/>
    <n v="13"/>
    <n v="123"/>
    <x v="0"/>
    <n v="1599"/>
    <n v="1005.770089"/>
    <n v="593.22991119999995"/>
    <n v="0.37100056985616009"/>
  </r>
  <r>
    <x v="130"/>
    <s v="South"/>
    <s v="Printer"/>
    <s v="Frank"/>
    <n v="3"/>
    <n v="1055"/>
    <x v="1"/>
    <n v="3165"/>
    <n v="2217.2279090000002"/>
    <n v="947.77209110000001"/>
    <n v="0.29945405721958929"/>
  </r>
  <r>
    <x v="327"/>
    <s v="South"/>
    <s v="Laptop"/>
    <s v="Bob"/>
    <n v="10"/>
    <n v="1986"/>
    <x v="2"/>
    <n v="19860"/>
    <n v="14935.993689999999"/>
    <n v="4924.0063140000002"/>
    <n v="0.24793586676737162"/>
  </r>
  <r>
    <x v="113"/>
    <s v="North"/>
    <s v="Tablet"/>
    <s v="Frank"/>
    <n v="3"/>
    <n v="410"/>
    <x v="2"/>
    <n v="1230"/>
    <n v="1008.381139"/>
    <n v="221.61886089999999"/>
    <n v="0.18017793569105689"/>
  </r>
  <r>
    <x v="112"/>
    <s v="East"/>
    <s v="Smartwatch"/>
    <s v="Grace"/>
    <n v="9"/>
    <n v="1584"/>
    <x v="0"/>
    <n v="14256"/>
    <n v="9400.7362269999994"/>
    <n v="4855.2637729999997"/>
    <n v="0.34057686398709314"/>
  </r>
  <r>
    <x v="79"/>
    <s v="West"/>
    <s v="Smartwatch"/>
    <s v="Grace"/>
    <n v="8"/>
    <n v="1331"/>
    <x v="0"/>
    <n v="10648"/>
    <n v="7085.4734950000002"/>
    <n v="3562.5265049999998"/>
    <n v="0.33457236147633357"/>
  </r>
  <r>
    <x v="320"/>
    <s v="West"/>
    <s v="Camera"/>
    <s v="Alice"/>
    <n v="3"/>
    <n v="1915"/>
    <x v="2"/>
    <n v="5745"/>
    <n v="4535.5244080000002"/>
    <n v="1209.475592"/>
    <n v="0.21052664786771105"/>
  </r>
  <r>
    <x v="78"/>
    <s v="East"/>
    <s v="Laptop"/>
    <s v="Alice"/>
    <n v="13"/>
    <n v="1840"/>
    <x v="2"/>
    <n v="23920"/>
    <n v="17096.517049999999"/>
    <n v="6823.4829460000001"/>
    <n v="0.28526266496655517"/>
  </r>
  <r>
    <x v="89"/>
    <s v="West"/>
    <s v="Laptop"/>
    <s v="Frank"/>
    <n v="6"/>
    <n v="763"/>
    <x v="2"/>
    <n v="4578"/>
    <n v="3408.909091"/>
    <n v="1169.090909"/>
    <n v="0.25537153975535171"/>
  </r>
  <r>
    <x v="91"/>
    <s v="North"/>
    <s v="Printer"/>
    <s v="Charlie"/>
    <n v="13"/>
    <n v="537"/>
    <x v="1"/>
    <n v="6981"/>
    <n v="5939.7172559999999"/>
    <n v="1041.2827440000001"/>
    <n v="0.1491595393210142"/>
  </r>
  <r>
    <x v="78"/>
    <s v="West"/>
    <s v="Laptop"/>
    <s v="David"/>
    <n v="12"/>
    <n v="1661"/>
    <x v="2"/>
    <n v="19932"/>
    <n v="14943.51851"/>
    <n v="4988.4814930000002"/>
    <n v="0.25027500968292193"/>
  </r>
  <r>
    <x v="190"/>
    <s v="South"/>
    <s v="Tablet"/>
    <s v="Hannah"/>
    <n v="13"/>
    <n v="805"/>
    <x v="2"/>
    <n v="10465"/>
    <n v="8327.5218050000003"/>
    <n v="2137.4781950000001"/>
    <n v="0.20425018585762064"/>
  </r>
  <r>
    <x v="161"/>
    <s v="East"/>
    <s v="Headphones"/>
    <s v="Bob"/>
    <n v="2"/>
    <n v="1459"/>
    <x v="0"/>
    <n v="2918"/>
    <n v="2325.740871"/>
    <n v="592.25912849999997"/>
    <n v="0.20296748749143248"/>
  </r>
  <r>
    <x v="89"/>
    <s v="North"/>
    <s v="Laptop"/>
    <s v="Bob"/>
    <n v="16"/>
    <n v="521"/>
    <x v="2"/>
    <n v="8336"/>
    <n v="7011.272747"/>
    <n v="1324.727253"/>
    <n v="0.1589164171065259"/>
  </r>
  <r>
    <x v="176"/>
    <s v="East"/>
    <s v="Laptop"/>
    <s v="Charlie"/>
    <n v="6"/>
    <n v="1873"/>
    <x v="2"/>
    <n v="11238"/>
    <n v="8894.2234709999993"/>
    <n v="2343.7765290000002"/>
    <n v="0.20855815349706355"/>
  </r>
  <r>
    <x v="230"/>
    <s v="North"/>
    <s v="Printer"/>
    <s v="Charlie"/>
    <n v="19"/>
    <n v="420"/>
    <x v="1"/>
    <n v="7980"/>
    <n v="4943.1547229999996"/>
    <n v="3036.8452769999999"/>
    <n v="0.38055705225563907"/>
  </r>
  <r>
    <x v="126"/>
    <s v="South"/>
    <s v="Monitor"/>
    <s v="Charlie"/>
    <n v="13"/>
    <n v="1620"/>
    <x v="1"/>
    <n v="21060"/>
    <n v="14797.848900000001"/>
    <n v="6262.1510950000002"/>
    <n v="0.29734810517568849"/>
  </r>
  <r>
    <x v="226"/>
    <s v="East"/>
    <s v="Mobile"/>
    <s v="Eva"/>
    <n v="17"/>
    <n v="686"/>
    <x v="2"/>
    <n v="11662"/>
    <n v="10458.4216"/>
    <n v="1203.5784000000001"/>
    <n v="0.1032051449151089"/>
  </r>
  <r>
    <x v="256"/>
    <s v="West"/>
    <s v="Monitor"/>
    <s v="Eva"/>
    <n v="9"/>
    <n v="1046"/>
    <x v="1"/>
    <n v="9414"/>
    <n v="6203.3843580000002"/>
    <n v="3210.6156420000002"/>
    <n v="0.3410469133205864"/>
  </r>
  <r>
    <x v="106"/>
    <s v="North"/>
    <s v="Printer"/>
    <s v="Frank"/>
    <n v="17"/>
    <n v="1286"/>
    <x v="1"/>
    <n v="21862"/>
    <n v="16965.321329999999"/>
    <n v="4896.6786659999998"/>
    <n v="0.22398127646143992"/>
  </r>
  <r>
    <x v="156"/>
    <s v="East"/>
    <s v="Monitor"/>
    <s v="Eva"/>
    <n v="2"/>
    <n v="1934"/>
    <x v="1"/>
    <n v="3868"/>
    <n v="3298.9483190000001"/>
    <n v="569.05168149999997"/>
    <n v="0.14711780804033092"/>
  </r>
  <r>
    <x v="261"/>
    <s v="West"/>
    <s v="Headphones"/>
    <s v="Grace"/>
    <n v="19"/>
    <n v="1664"/>
    <x v="1"/>
    <n v="31616"/>
    <n v="24532.99064"/>
    <n v="7083.0093630000001"/>
    <n v="0.22403243177505061"/>
  </r>
  <r>
    <x v="337"/>
    <s v="East"/>
    <s v="Tablet"/>
    <s v="Grace"/>
    <n v="19"/>
    <n v="1288"/>
    <x v="2"/>
    <n v="24472"/>
    <n v="17416.259330000001"/>
    <n v="7055.7406730000002"/>
    <n v="0.2883189225645636"/>
  </r>
  <r>
    <x v="244"/>
    <s v="East"/>
    <s v="Camera"/>
    <s v="Alice"/>
    <n v="7"/>
    <n v="948"/>
    <x v="2"/>
    <n v="6636"/>
    <n v="4141.319023"/>
    <n v="2494.680977"/>
    <n v="0.37593143113321276"/>
  </r>
  <r>
    <x v="18"/>
    <s v="East"/>
    <s v="Laptop"/>
    <s v="Hannah"/>
    <n v="10"/>
    <n v="1821"/>
    <x v="2"/>
    <n v="18210"/>
    <n v="12901.77536"/>
    <n v="5308.2246370000003"/>
    <n v="0.2915005292147172"/>
  </r>
  <r>
    <x v="338"/>
    <s v="North"/>
    <s v="Printer"/>
    <s v="Frank"/>
    <n v="10"/>
    <n v="1689"/>
    <x v="1"/>
    <n v="16890"/>
    <n v="11056.53608"/>
    <n v="5833.4639189999998"/>
    <n v="0.34537974653641207"/>
  </r>
  <r>
    <x v="295"/>
    <s v="West"/>
    <s v="Printer"/>
    <s v="Hannah"/>
    <n v="9"/>
    <n v="1418"/>
    <x v="1"/>
    <n v="12762"/>
    <n v="11335.95938"/>
    <n v="1426.040622"/>
    <n v="0.11174115514809591"/>
  </r>
  <r>
    <x v="302"/>
    <s v="South"/>
    <s v="Mobile"/>
    <s v="Bob"/>
    <n v="17"/>
    <n v="141"/>
    <x v="2"/>
    <n v="2397"/>
    <n v="1952.3793969999999"/>
    <n v="444.62060270000001"/>
    <n v="0.1854904475177305"/>
  </r>
  <r>
    <x v="99"/>
    <s v="North"/>
    <s v="Smartwatch"/>
    <s v="Alice"/>
    <n v="2"/>
    <n v="1038"/>
    <x v="0"/>
    <n v="2076"/>
    <n v="1517.1216589999999"/>
    <n v="558.87834109999994"/>
    <n v="0.26920922018304427"/>
  </r>
  <r>
    <x v="155"/>
    <s v="North"/>
    <s v="Camera"/>
    <s v="Bob"/>
    <n v="4"/>
    <n v="486"/>
    <x v="2"/>
    <n v="1944"/>
    <n v="1230.5314880000001"/>
    <n v="713.46851219999996"/>
    <n v="0.36701055154320988"/>
  </r>
  <r>
    <x v="79"/>
    <s v="South"/>
    <s v="Laptop"/>
    <s v="Bob"/>
    <n v="19"/>
    <n v="1261"/>
    <x v="2"/>
    <n v="23959"/>
    <n v="16292.478090000001"/>
    <n v="7666.5219120000002"/>
    <n v="0.31998505413414585"/>
  </r>
  <r>
    <x v="78"/>
    <s v="West"/>
    <s v="Laptop"/>
    <s v="Frank"/>
    <n v="17"/>
    <n v="1310"/>
    <x v="2"/>
    <n v="22270"/>
    <n v="15097.12989"/>
    <n v="7172.8701140000003"/>
    <n v="0.32208666879209702"/>
  </r>
  <r>
    <x v="85"/>
    <s v="West"/>
    <s v="Mobile"/>
    <s v="Charlie"/>
    <n v="5"/>
    <n v="1009"/>
    <x v="2"/>
    <n v="5045"/>
    <n v="3763.7405469999999"/>
    <n v="1281.2594529999999"/>
    <n v="0.25396619484638255"/>
  </r>
  <r>
    <x v="90"/>
    <s v="West"/>
    <s v="Tablet"/>
    <s v="Charlie"/>
    <n v="7"/>
    <n v="815"/>
    <x v="2"/>
    <n v="5705"/>
    <n v="4211.9669050000002"/>
    <n v="1493.033095"/>
    <n v="0.26170606397896584"/>
  </r>
  <r>
    <x v="78"/>
    <s v="East"/>
    <s v="Laptop"/>
    <s v="Hannah"/>
    <n v="18"/>
    <n v="530"/>
    <x v="2"/>
    <n v="9540"/>
    <n v="6964.4143180000001"/>
    <n v="2575.5856819999999"/>
    <n v="0.26997753480083858"/>
  </r>
  <r>
    <x v="233"/>
    <s v="East"/>
    <s v="Smartwatch"/>
    <s v="Alice"/>
    <n v="7"/>
    <n v="653"/>
    <x v="0"/>
    <n v="4571"/>
    <n v="3422.7339000000002"/>
    <n v="1148.2661000000001"/>
    <n v="0.25120676000875081"/>
  </r>
  <r>
    <x v="153"/>
    <s v="East"/>
    <s v="Laptop"/>
    <s v="Charlie"/>
    <n v="17"/>
    <n v="1985"/>
    <x v="2"/>
    <n v="33745"/>
    <n v="30239.12817"/>
    <n v="3505.87183"/>
    <n v="0.10389307541858053"/>
  </r>
  <r>
    <x v="339"/>
    <s v="South"/>
    <s v="Smartwatch"/>
    <s v="Bob"/>
    <n v="7"/>
    <n v="1539"/>
    <x v="0"/>
    <n v="10773"/>
    <n v="7428.0490989999998"/>
    <n v="3344.9509010000002"/>
    <n v="0.31049391079550731"/>
  </r>
  <r>
    <x v="220"/>
    <s v="East"/>
    <s v="Camera"/>
    <s v="Charlie"/>
    <n v="4"/>
    <n v="899"/>
    <x v="2"/>
    <n v="3596"/>
    <n v="2821.3523700000001"/>
    <n v="774.6476298"/>
    <n v="0.21541925189098998"/>
  </r>
  <r>
    <x v="147"/>
    <s v="South"/>
    <s v="Camera"/>
    <s v="Eva"/>
    <n v="8"/>
    <n v="525"/>
    <x v="2"/>
    <n v="4200"/>
    <n v="2821.7797569999998"/>
    <n v="1378.220243"/>
    <n v="0.32814767690476188"/>
  </r>
  <r>
    <x v="201"/>
    <s v="West"/>
    <s v="Headphones"/>
    <s v="Charlie"/>
    <n v="13"/>
    <n v="1539"/>
    <x v="0"/>
    <n v="20007"/>
    <n v="14804.81747"/>
    <n v="5202.1825310000004"/>
    <n v="0.26001812020792725"/>
  </r>
  <r>
    <x v="267"/>
    <s v="East"/>
    <s v="Headphones"/>
    <s v="unknown"/>
    <n v="4"/>
    <n v="125"/>
    <x v="0"/>
    <n v="500"/>
    <n v="330.007385"/>
    <n v="169.992615"/>
    <n v="0.33998523000000003"/>
  </r>
  <r>
    <x v="288"/>
    <s v="North"/>
    <s v="Tablet"/>
    <s v="unknown"/>
    <n v="5"/>
    <n v="484"/>
    <x v="2"/>
    <n v="2420"/>
    <n v="1644.398557"/>
    <n v="775.60144300000002"/>
    <n v="0.32049646404958676"/>
  </r>
  <r>
    <x v="308"/>
    <s v="South"/>
    <s v="Laptop"/>
    <s v="Alice"/>
    <n v="12"/>
    <n v="155"/>
    <x v="2"/>
    <n v="1860"/>
    <n v="1136.5282159999999"/>
    <n v="723.47178450000001"/>
    <n v="0.38896332500000003"/>
  </r>
  <r>
    <x v="214"/>
    <s v="West"/>
    <s v="Printer"/>
    <s v="David"/>
    <n v="4"/>
    <n v="1376"/>
    <x v="1"/>
    <n v="5504"/>
    <n v="4648.5756259999998"/>
    <n v="855.42437380000001"/>
    <n v="0.15541867256540698"/>
  </r>
  <r>
    <x v="165"/>
    <s v="West"/>
    <s v="Monitor"/>
    <s v="Grace"/>
    <n v="19"/>
    <n v="1253"/>
    <x v="1"/>
    <n v="23807"/>
    <n v="17692.250199999999"/>
    <n v="6114.7497979999998"/>
    <n v="0.25684671726803038"/>
  </r>
  <r>
    <x v="340"/>
    <s v="North"/>
    <s v="Printer"/>
    <s v="Hannah"/>
    <n v="14"/>
    <n v="948"/>
    <x v="1"/>
    <n v="13272"/>
    <n v="9685.16237"/>
    <n v="3586.83763"/>
    <n v="0.27025599984930682"/>
  </r>
  <r>
    <x v="176"/>
    <s v="South"/>
    <s v="Smartwatch"/>
    <s v="Bob"/>
    <n v="5"/>
    <n v="769"/>
    <x v="0"/>
    <n v="3845"/>
    <n v="3144.0554579999998"/>
    <n v="700.94454159999998"/>
    <n v="0.18230027089726916"/>
  </r>
  <r>
    <x v="261"/>
    <s v="South"/>
    <s v="Printer"/>
    <s v="David"/>
    <n v="18"/>
    <n v="475"/>
    <x v="1"/>
    <n v="8550"/>
    <n v="6660.7319690000004"/>
    <n v="1889.2680310000001"/>
    <n v="0.22096702116959066"/>
  </r>
  <r>
    <x v="12"/>
    <s v="East"/>
    <s v="Monitor"/>
    <s v="David"/>
    <n v="10"/>
    <n v="842"/>
    <x v="1"/>
    <n v="8420"/>
    <n v="5798.1076080000003"/>
    <n v="2621.8923920000002"/>
    <n v="0.31138864513064135"/>
  </r>
  <r>
    <x v="190"/>
    <s v="North"/>
    <s v="Laptop"/>
    <s v="Eva"/>
    <n v="19"/>
    <n v="1066"/>
    <x v="2"/>
    <n v="20254"/>
    <n v="12466.557769999999"/>
    <n v="7787.4422320000003"/>
    <n v="0.38448910002962378"/>
  </r>
  <r>
    <x v="130"/>
    <s v="East"/>
    <s v="Laptop"/>
    <s v="David"/>
    <n v="12"/>
    <n v="407"/>
    <x v="2"/>
    <n v="4884"/>
    <n v="4055.080367"/>
    <n v="828.91963269999997"/>
    <n v="0.16972146451678952"/>
  </r>
  <r>
    <x v="341"/>
    <s v="North"/>
    <s v="Tablet"/>
    <s v="Grace"/>
    <n v="18"/>
    <n v="190"/>
    <x v="2"/>
    <n v="3420"/>
    <n v="2413.6928320000002"/>
    <n v="1006.307168"/>
    <n v="0.2942418619883041"/>
  </r>
  <r>
    <x v="254"/>
    <s v="South"/>
    <s v="Mobile"/>
    <s v="Frank"/>
    <n v="17"/>
    <n v="1516"/>
    <x v="2"/>
    <n v="25772"/>
    <n v="22342.195810000001"/>
    <n v="3429.8041920000001"/>
    <n v="0.13308257768120441"/>
  </r>
  <r>
    <x v="295"/>
    <s v="South"/>
    <s v="Printer"/>
    <s v="Bob"/>
    <n v="11"/>
    <n v="1657"/>
    <x v="1"/>
    <n v="18227"/>
    <n v="13096.40994"/>
    <n v="5130.590056"/>
    <n v="0.28148296790475669"/>
  </r>
  <r>
    <x v="111"/>
    <s v="South"/>
    <s v="Headphones"/>
    <s v="Bob"/>
    <n v="3"/>
    <n v="901"/>
    <x v="0"/>
    <n v="2703"/>
    <n v="2203.7493639999998"/>
    <n v="499.2506363"/>
    <n v="0.18470241816500185"/>
  </r>
  <r>
    <x v="199"/>
    <s v="North"/>
    <s v="Monitor"/>
    <s v="Charlie"/>
    <n v="17"/>
    <n v="209"/>
    <x v="1"/>
    <n v="3553"/>
    <n v="3133.282017"/>
    <n v="419.71798280000002"/>
    <n v="0.11813058902336054"/>
  </r>
  <r>
    <x v="325"/>
    <s v="South"/>
    <s v="Monitor"/>
    <s v="Charlie"/>
    <n v="1"/>
    <n v="1684"/>
    <x v="1"/>
    <n v="1684"/>
    <n v="1339.362218"/>
    <n v="344.63778189999999"/>
    <n v="0.20465426478622328"/>
  </r>
  <r>
    <x v="61"/>
    <s v="North"/>
    <s v="Monitor"/>
    <s v="unknown"/>
    <n v="15"/>
    <n v="1764"/>
    <x v="1"/>
    <n v="26460"/>
    <n v="19158.274990000002"/>
    <n v="7301.7250050000002"/>
    <n v="0.27595332596371885"/>
  </r>
  <r>
    <x v="286"/>
    <s v="East"/>
    <s v="Headphones"/>
    <s v="Grace"/>
    <n v="9"/>
    <n v="684"/>
    <x v="0"/>
    <n v="6156"/>
    <n v="4741.4729699999998"/>
    <n v="1414.52703"/>
    <n v="0.2297802192982456"/>
  </r>
  <r>
    <x v="180"/>
    <s v="North"/>
    <s v="Mobile"/>
    <s v="Grace"/>
    <n v="15"/>
    <n v="439"/>
    <x v="2"/>
    <n v="6585"/>
    <n v="5024.5759699999999"/>
    <n v="1560.4240299999999"/>
    <n v="0.23696644343204251"/>
  </r>
  <r>
    <x v="342"/>
    <s v="East"/>
    <s v="Laptop"/>
    <s v="Hannah"/>
    <n v="3"/>
    <n v="1688"/>
    <x v="2"/>
    <n v="5064"/>
    <n v="3926.8586"/>
    <n v="1137.1414"/>
    <n v="0.22455398894154818"/>
  </r>
  <r>
    <x v="320"/>
    <s v="North"/>
    <s v="Tablet"/>
    <s v="Grace"/>
    <n v="19"/>
    <n v="1078"/>
    <x v="2"/>
    <n v="20482"/>
    <n v="13191.35008"/>
    <n v="7290.6499160000003"/>
    <n v="0.35595400429645546"/>
  </r>
  <r>
    <x v="180"/>
    <s v="East"/>
    <s v="Tablet"/>
    <s v="Grace"/>
    <n v="13"/>
    <n v="455"/>
    <x v="2"/>
    <n v="5915"/>
    <n v="4788.5057859999997"/>
    <n v="1126.4942140000001"/>
    <n v="0.19044703533389687"/>
  </r>
  <r>
    <x v="43"/>
    <s v="South"/>
    <s v="Headphones"/>
    <s v="Grace"/>
    <n v="12"/>
    <n v="267"/>
    <x v="0"/>
    <n v="3204"/>
    <n v="2061.8155929999998"/>
    <n v="1142.184407"/>
    <n v="0.35648701841448188"/>
  </r>
  <r>
    <x v="119"/>
    <s v="East"/>
    <s v="Tablet"/>
    <s v="Grace"/>
    <n v="1"/>
    <n v="656"/>
    <x v="2"/>
    <n v="656"/>
    <n v="396.47660280000002"/>
    <n v="259.52339719999998"/>
    <n v="0.39561493475609755"/>
  </r>
  <r>
    <x v="332"/>
    <s v="South"/>
    <s v="Monitor"/>
    <s v="Frank"/>
    <n v="17"/>
    <n v="1575"/>
    <x v="1"/>
    <n v="26775"/>
    <n v="21083.546160000002"/>
    <n v="5691.4538409999996"/>
    <n v="0.21256596978524742"/>
  </r>
  <r>
    <x v="153"/>
    <s v="South"/>
    <s v="Camera"/>
    <s v="Grace"/>
    <n v="13"/>
    <n v="1004"/>
    <x v="2"/>
    <n v="13052"/>
    <n v="8288.9867830000003"/>
    <n v="4763.0132169999997"/>
    <n v="0.36492592836346915"/>
  </r>
  <r>
    <x v="279"/>
    <s v="East"/>
    <s v="Mobile"/>
    <s v="Hannah"/>
    <n v="1"/>
    <n v="204"/>
    <x v="2"/>
    <n v="204"/>
    <n v="169.54919219999999"/>
    <n v="34.450807830000002"/>
    <n v="0.16887650897058826"/>
  </r>
  <r>
    <x v="100"/>
    <s v="North"/>
    <s v="Laptop"/>
    <s v="David"/>
    <n v="10"/>
    <n v="249"/>
    <x v="2"/>
    <n v="2490"/>
    <n v="2140.8765669999998"/>
    <n v="349.12343270000002"/>
    <n v="0.14021021393574298"/>
  </r>
  <r>
    <x v="94"/>
    <s v="Unknown"/>
    <s v="Camera"/>
    <s v="David"/>
    <n v="15"/>
    <n v="245"/>
    <x v="2"/>
    <n v="3675"/>
    <n v="3246.5723109999999"/>
    <n v="428.42768869999998"/>
    <n v="0.11657896291156462"/>
  </r>
  <r>
    <x v="211"/>
    <s v="West"/>
    <s v="Mobile"/>
    <s v="Eva"/>
    <n v="7"/>
    <n v="815"/>
    <x v="2"/>
    <n v="5705"/>
    <n v="4560.2523220000003"/>
    <n v="1144.747678"/>
    <n v="0.2006569111305872"/>
  </r>
  <r>
    <x v="57"/>
    <s v="North"/>
    <s v="Smartwatch"/>
    <s v="Frank"/>
    <n v="18"/>
    <n v="973"/>
    <x v="0"/>
    <n v="17514"/>
    <n v="13041.00265"/>
    <n v="4472.9973499999996"/>
    <n v="0.25539553214571198"/>
  </r>
  <r>
    <x v="49"/>
    <s v="West"/>
    <s v="Printer"/>
    <s v="Charlie"/>
    <n v="16"/>
    <n v="398"/>
    <x v="1"/>
    <n v="6368"/>
    <n v="4493.7977769999998"/>
    <n v="1874.202223"/>
    <n v="0.29431567572236184"/>
  </r>
  <r>
    <x v="343"/>
    <s v="North"/>
    <s v="Smartwatch"/>
    <s v="Alice"/>
    <n v="14"/>
    <n v="1290"/>
    <x v="0"/>
    <n v="18060"/>
    <n v="13495.83216"/>
    <n v="4564.1678410000004"/>
    <n v="0.25272247181616836"/>
  </r>
  <r>
    <x v="32"/>
    <s v="North"/>
    <s v="Monitor"/>
    <s v="Grace"/>
    <n v="18"/>
    <n v="1836"/>
    <x v="1"/>
    <n v="33048"/>
    <n v="21716.028129999999"/>
    <n v="11331.971869999999"/>
    <n v="0.34289433157831034"/>
  </r>
  <r>
    <x v="120"/>
    <s v="South"/>
    <s v="Tablet"/>
    <s v="Eva"/>
    <n v="7"/>
    <n v="745"/>
    <x v="2"/>
    <n v="5215"/>
    <n v="3674.1072319999998"/>
    <n v="1540.8927679999999"/>
    <n v="0.29547320575263664"/>
  </r>
  <r>
    <x v="70"/>
    <s v="West"/>
    <s v="Smartwatch"/>
    <s v="Alice"/>
    <n v="17"/>
    <n v="822"/>
    <x v="0"/>
    <n v="13974"/>
    <n v="11394.10835"/>
    <n v="2579.891654"/>
    <n v="0.18462084256476313"/>
  </r>
  <r>
    <x v="344"/>
    <s v="North"/>
    <s v="Tablet"/>
    <s v="Hannah"/>
    <n v="18"/>
    <n v="1171"/>
    <x v="2"/>
    <n v="21078"/>
    <n v="14021.65242"/>
    <n v="7056.3475840000001"/>
    <n v="0.33477310864408388"/>
  </r>
  <r>
    <x v="102"/>
    <s v="West"/>
    <s v="Camera"/>
    <s v="David"/>
    <n v="12"/>
    <n v="737"/>
    <x v="2"/>
    <n v="8844"/>
    <n v="6007.0229239999999"/>
    <n v="2836.9770760000001"/>
    <n v="0.3207798593396653"/>
  </r>
  <r>
    <x v="169"/>
    <s v="South"/>
    <s v="Laptop"/>
    <s v="Eva"/>
    <n v="8"/>
    <n v="338"/>
    <x v="2"/>
    <n v="2704"/>
    <n v="2230.2550809999998"/>
    <n v="473.74491899999998"/>
    <n v="0.17520152329881655"/>
  </r>
  <r>
    <x v="105"/>
    <s v="South"/>
    <s v="Laptop"/>
    <s v="Hannah"/>
    <n v="2"/>
    <n v="1130"/>
    <x v="2"/>
    <n v="2260"/>
    <n v="1476.572764"/>
    <n v="783.42723550000005"/>
    <n v="0.34664921924778763"/>
  </r>
  <r>
    <x v="199"/>
    <s v="West"/>
    <s v="Laptop"/>
    <s v="Eva"/>
    <n v="7"/>
    <n v="563"/>
    <x v="2"/>
    <n v="3941"/>
    <n v="2655.3128929999998"/>
    <n v="1285.687107"/>
    <n v="0.32623372418167979"/>
  </r>
  <r>
    <x v="104"/>
    <s v="Unknown"/>
    <s v="Monitor"/>
    <s v="Bob"/>
    <n v="4"/>
    <n v="552"/>
    <x v="1"/>
    <n v="2208"/>
    <n v="1336.4235060000001"/>
    <n v="871.5764944"/>
    <n v="0.39473573115942029"/>
  </r>
  <r>
    <x v="111"/>
    <s v="East"/>
    <s v="Tablet"/>
    <s v="Hannah"/>
    <n v="18"/>
    <n v="883"/>
    <x v="2"/>
    <n v="15894"/>
    <n v="12969.750040000001"/>
    <n v="2924.2499630000002"/>
    <n v="0.18398452013338368"/>
  </r>
  <r>
    <x v="345"/>
    <s v="East"/>
    <s v="Smartwatch"/>
    <s v="David"/>
    <n v="6"/>
    <n v="996"/>
    <x v="0"/>
    <n v="5976"/>
    <n v="4693.377512"/>
    <n v="1282.622488"/>
    <n v="0.21462893038821954"/>
  </r>
  <r>
    <x v="290"/>
    <s v="South"/>
    <s v="Laptop"/>
    <s v="David"/>
    <n v="9"/>
    <n v="470"/>
    <x v="2"/>
    <n v="4230"/>
    <n v="3419.1751389999999"/>
    <n v="810.82486080000001"/>
    <n v="0.19168436425531915"/>
  </r>
  <r>
    <x v="219"/>
    <s v="East"/>
    <s v="Smartwatch"/>
    <s v="Frank"/>
    <n v="9"/>
    <n v="1672"/>
    <x v="0"/>
    <n v="15048"/>
    <n v="9996.3612489999996"/>
    <n v="5051.6387510000004"/>
    <n v="0.3357016713849017"/>
  </r>
  <r>
    <x v="292"/>
    <s v="South"/>
    <s v="Tablet"/>
    <s v="Eva"/>
    <n v="14"/>
    <n v="586"/>
    <x v="2"/>
    <n v="8204"/>
    <n v="6614.1707729999998"/>
    <n v="1589.8292269999999"/>
    <n v="0.19378708276450513"/>
  </r>
  <r>
    <x v="238"/>
    <s v="Unknown"/>
    <s v="Monitor"/>
    <s v="Grace"/>
    <n v="8"/>
    <n v="1334"/>
    <x v="1"/>
    <n v="10672"/>
    <n v="8312.5593790000003"/>
    <n v="2359.4406210000002"/>
    <n v="0.22108701471139433"/>
  </r>
  <r>
    <x v="34"/>
    <s v="North"/>
    <s v="Camera"/>
    <s v="David"/>
    <n v="19"/>
    <n v="264"/>
    <x v="2"/>
    <n v="5016"/>
    <n v="3560.5418589999999"/>
    <n v="1455.4581410000001"/>
    <n v="0.29016310625996811"/>
  </r>
  <r>
    <x v="296"/>
    <s v="West"/>
    <s v="Monitor"/>
    <s v="Eva"/>
    <n v="3"/>
    <n v="1248"/>
    <x v="1"/>
    <n v="3744"/>
    <n v="2738.1659519999998"/>
    <n v="1005.8340480000001"/>
    <n v="0.26865225641025642"/>
  </r>
  <r>
    <x v="15"/>
    <s v="South"/>
    <s v="Smartwatch"/>
    <s v="Frank"/>
    <n v="18"/>
    <n v="1460"/>
    <x v="0"/>
    <n v="26280"/>
    <n v="20245.485250000002"/>
    <n v="6034.514752"/>
    <n v="0.2296238490106545"/>
  </r>
  <r>
    <x v="329"/>
    <s v="North"/>
    <s v="Monitor"/>
    <s v="Grace"/>
    <n v="5"/>
    <n v="291"/>
    <x v="1"/>
    <n v="1455"/>
    <n v="1088.3220349999999"/>
    <n v="366.67796509999999"/>
    <n v="0.25201234714776632"/>
  </r>
  <r>
    <x v="64"/>
    <s v="South"/>
    <s v="Monitor"/>
    <s v="Hannah"/>
    <n v="14"/>
    <n v="829"/>
    <x v="1"/>
    <n v="11606"/>
    <n v="9198.3169600000001"/>
    <n v="2407.6830399999999"/>
    <n v="0.20745158021712906"/>
  </r>
  <r>
    <x v="219"/>
    <s v="South"/>
    <s v="Camera"/>
    <s v="Frank"/>
    <n v="4"/>
    <n v="313"/>
    <x v="2"/>
    <n v="1252"/>
    <n v="819.17592930000001"/>
    <n v="432.82407069999999"/>
    <n v="0.34570612675718848"/>
  </r>
  <r>
    <x v="240"/>
    <s v="West"/>
    <s v="Tablet"/>
    <s v="Bob"/>
    <n v="7"/>
    <n v="673"/>
    <x v="2"/>
    <n v="4711"/>
    <n v="3590.7853789999999"/>
    <n v="1120.2146210000001"/>
    <n v="0.23778701358522608"/>
  </r>
  <r>
    <x v="248"/>
    <s v="West"/>
    <s v="Tablet"/>
    <s v="Grace"/>
    <n v="12"/>
    <n v="1451"/>
    <x v="2"/>
    <n v="17412"/>
    <n v="12799.279909999999"/>
    <n v="4612.7200929999999"/>
    <n v="0.26491615512290373"/>
  </r>
  <r>
    <x v="335"/>
    <s v="West"/>
    <s v="Headphones"/>
    <s v="Eva"/>
    <n v="2"/>
    <n v="1056"/>
    <x v="0"/>
    <n v="2112"/>
    <n v="1559.3025849999999"/>
    <n v="552.69741499999998"/>
    <n v="0.26169385179924243"/>
  </r>
  <r>
    <x v="86"/>
    <s v="North"/>
    <s v="Monitor"/>
    <s v="David"/>
    <n v="11"/>
    <n v="480"/>
    <x v="1"/>
    <n v="5280"/>
    <n v="3911.5011679999998"/>
    <n v="1368.498832"/>
    <n v="0.25918538484848486"/>
  </r>
  <r>
    <x v="35"/>
    <s v="East"/>
    <s v="Tablet"/>
    <s v="David"/>
    <n v="14"/>
    <n v="772"/>
    <x v="2"/>
    <n v="10808"/>
    <n v="9342.8846950000006"/>
    <n v="1465.115305"/>
    <n v="0.13555841089933382"/>
  </r>
  <r>
    <x v="277"/>
    <s v="West"/>
    <s v="Tablet"/>
    <s v="Eva"/>
    <n v="16"/>
    <n v="1701"/>
    <x v="2"/>
    <n v="27216"/>
    <n v="23013.529330000001"/>
    <n v="4202.4706690000003"/>
    <n v="0.1544117676734274"/>
  </r>
  <r>
    <x v="265"/>
    <s v="West"/>
    <s v="Mobile"/>
    <s v="Eva"/>
    <n v="6"/>
    <n v="897"/>
    <x v="2"/>
    <n v="5382"/>
    <n v="4245.7036589999998"/>
    <n v="1136.296341"/>
    <n v="0.21112901170568563"/>
  </r>
  <r>
    <x v="179"/>
    <s v="North"/>
    <s v="Laptop"/>
    <s v="Eva"/>
    <n v="4"/>
    <n v="338"/>
    <x v="2"/>
    <n v="1352"/>
    <n v="1101.8071010000001"/>
    <n v="250.19289889999999"/>
    <n v="0.18505391930473372"/>
  </r>
  <r>
    <x v="18"/>
    <s v="West"/>
    <s v="Headphones"/>
    <s v="Charlie"/>
    <n v="15"/>
    <n v="1655"/>
    <x v="0"/>
    <n v="24825"/>
    <n v="15213.772629999999"/>
    <n v="9611.2273679999998"/>
    <n v="0.38715920918429003"/>
  </r>
  <r>
    <x v="342"/>
    <s v="North"/>
    <s v="Printer"/>
    <s v="Grace"/>
    <n v="1"/>
    <n v="799"/>
    <x v="1"/>
    <n v="799"/>
    <n v="657.73481509999999"/>
    <n v="141.26518490000001"/>
    <n v="0.17680248423028788"/>
  </r>
  <r>
    <x v="315"/>
    <s v="South"/>
    <s v="Headphones"/>
    <s v="David"/>
    <n v="7"/>
    <n v="1205"/>
    <x v="0"/>
    <n v="8435"/>
    <n v="6291.2397440000004"/>
    <n v="2143.760256"/>
    <n v="0.25415059347954949"/>
  </r>
  <r>
    <x v="196"/>
    <s v="West"/>
    <s v="Headphones"/>
    <s v="Grace"/>
    <n v="12"/>
    <n v="1486"/>
    <x v="0"/>
    <n v="17832"/>
    <n v="12399.022370000001"/>
    <n v="5432.977629"/>
    <n v="0.3046757306527591"/>
  </r>
  <r>
    <x v="133"/>
    <s v="West"/>
    <s v="Printer"/>
    <s v="Frank"/>
    <n v="10"/>
    <n v="604"/>
    <x v="1"/>
    <n v="6040"/>
    <n v="3877.275862"/>
    <n v="2162.724138"/>
    <n v="0.35806691026490067"/>
  </r>
  <r>
    <x v="33"/>
    <s v="South"/>
    <s v="Mobile"/>
    <s v="David"/>
    <n v="5"/>
    <n v="301"/>
    <x v="2"/>
    <n v="1505"/>
    <n v="936.95676879999996"/>
    <n v="568.04323120000004"/>
    <n v="0.37743736292358804"/>
  </r>
  <r>
    <x v="306"/>
    <s v="South"/>
    <s v="Monitor"/>
    <s v="unknown"/>
    <n v="12"/>
    <n v="1019"/>
    <x v="1"/>
    <n v="12228"/>
    <n v="7501.4586490000002"/>
    <n v="4726.5413509999998"/>
    <n v="0.38653429432450115"/>
  </r>
  <r>
    <x v="113"/>
    <s v="South"/>
    <s v="Camera"/>
    <s v="Eva"/>
    <n v="18"/>
    <n v="1627"/>
    <x v="2"/>
    <n v="29286"/>
    <n v="18993.108830000001"/>
    <n v="10292.891170000001"/>
    <n v="0.35146114764734004"/>
  </r>
  <r>
    <x v="290"/>
    <s v="West"/>
    <s v="Tablet"/>
    <s v="Bob"/>
    <n v="10"/>
    <n v="1767"/>
    <x v="2"/>
    <n v="17670"/>
    <n v="10761.79226"/>
    <n v="6908.2077440000003"/>
    <n v="0.39095686157328807"/>
  </r>
  <r>
    <x v="143"/>
    <s v="East"/>
    <s v="Laptop"/>
    <s v="Eva"/>
    <n v="6"/>
    <n v="136"/>
    <x v="2"/>
    <n v="816"/>
    <n v="668.95082090000005"/>
    <n v="147.0491791"/>
    <n v="0.18020732732843137"/>
  </r>
  <r>
    <x v="277"/>
    <s v="East"/>
    <s v="Smartwatch"/>
    <s v="Hannah"/>
    <n v="12"/>
    <n v="743"/>
    <x v="0"/>
    <n v="8916"/>
    <n v="6014.593046"/>
    <n v="2901.406954"/>
    <n v="0.32541576424405566"/>
  </r>
  <r>
    <x v="145"/>
    <s v="East"/>
    <s v="Monitor"/>
    <s v="Eva"/>
    <n v="7"/>
    <n v="1712"/>
    <x v="1"/>
    <n v="11984"/>
    <n v="8516.0955830000003"/>
    <n v="3467.9044170000002"/>
    <n v="0.2893778719125501"/>
  </r>
  <r>
    <x v="139"/>
    <s v="West"/>
    <s v="Printer"/>
    <s v="Charlie"/>
    <n v="18"/>
    <n v="1724"/>
    <x v="1"/>
    <n v="31032"/>
    <n v="26278.35886"/>
    <n v="4753.6411360000002"/>
    <n v="0.15318513585975768"/>
  </r>
  <r>
    <x v="17"/>
    <s v="South"/>
    <s v="Camera"/>
    <s v="Grace"/>
    <n v="2"/>
    <n v="1525"/>
    <x v="2"/>
    <n v="3050"/>
    <n v="1934.911609"/>
    <n v="1115.088391"/>
    <n v="0.36560275114754098"/>
  </r>
  <r>
    <x v="21"/>
    <s v="West"/>
    <s v="Monitor"/>
    <s v="David"/>
    <n v="10"/>
    <n v="864"/>
    <x v="1"/>
    <n v="8640"/>
    <n v="7349.8597259999997"/>
    <n v="1290.1402740000001"/>
    <n v="0.14932179097222223"/>
  </r>
  <r>
    <x v="271"/>
    <s v="South"/>
    <s v="Printer"/>
    <s v="Eva"/>
    <n v="15"/>
    <n v="1979"/>
    <x v="1"/>
    <n v="29685"/>
    <n v="23506.426589999999"/>
    <n v="6178.5734080000002"/>
    <n v="0.20813789482903824"/>
  </r>
  <r>
    <x v="249"/>
    <s v="West"/>
    <s v="Tablet"/>
    <s v="David"/>
    <n v="12"/>
    <n v="805"/>
    <x v="2"/>
    <n v="9660"/>
    <n v="6787.2015330000004"/>
    <n v="2872.7984670000001"/>
    <n v="0.29739114565217389"/>
  </r>
  <r>
    <x v="86"/>
    <s v="West"/>
    <s v="Mobile"/>
    <s v="Alice"/>
    <n v="17"/>
    <n v="1299"/>
    <x v="2"/>
    <n v="22083"/>
    <n v="14030.26101"/>
    <n v="8052.7389940000003"/>
    <n v="0.36465783607299734"/>
  </r>
  <r>
    <x v="14"/>
    <s v="South"/>
    <s v="Monitor"/>
    <s v="Frank"/>
    <n v="4"/>
    <n v="644"/>
    <x v="1"/>
    <n v="2576"/>
    <n v="1616.3055569999999"/>
    <n v="959.69444350000003"/>
    <n v="0.37255219079968943"/>
  </r>
  <r>
    <x v="248"/>
    <s v="East"/>
    <s v="Printer"/>
    <s v="Grace"/>
    <n v="7"/>
    <n v="1693"/>
    <x v="1"/>
    <n v="11851"/>
    <n v="8303.4541549999994"/>
    <n v="3547.5458450000001"/>
    <n v="0.29934569614378537"/>
  </r>
  <r>
    <x v="300"/>
    <s v="South"/>
    <s v="Tablet"/>
    <s v="David"/>
    <n v="9"/>
    <n v="1590"/>
    <x v="2"/>
    <n v="14310"/>
    <n v="9188.4880890000004"/>
    <n v="5121.5119109999996"/>
    <n v="0.35789740817610061"/>
  </r>
  <r>
    <x v="27"/>
    <s v="North"/>
    <s v="Tablet"/>
    <s v="Bob"/>
    <n v="19"/>
    <n v="1324"/>
    <x v="2"/>
    <n v="25156"/>
    <n v="17113.95607"/>
    <n v="8042.0439349999997"/>
    <n v="0.31968691107489267"/>
  </r>
  <r>
    <x v="274"/>
    <s v="South"/>
    <s v="Headphones"/>
    <s v="Hannah"/>
    <n v="2"/>
    <n v="1670"/>
    <x v="0"/>
    <n v="3340"/>
    <n v="2600.1984389999998"/>
    <n v="739.80156150000005"/>
    <n v="0.22149747350299404"/>
  </r>
  <r>
    <x v="271"/>
    <s v="North"/>
    <s v="Monitor"/>
    <s v="Bob"/>
    <n v="18"/>
    <n v="1760"/>
    <x v="1"/>
    <n v="31680"/>
    <n v="26199.983899999999"/>
    <n v="5480.0160960000003"/>
    <n v="0.17298030606060608"/>
  </r>
  <r>
    <x v="165"/>
    <s v="North"/>
    <s v="Headphones"/>
    <s v="Eva"/>
    <n v="6"/>
    <n v="493"/>
    <x v="0"/>
    <n v="2958"/>
    <n v="1968.4084740000001"/>
    <n v="989.59152610000001"/>
    <n v="0.33454750713319809"/>
  </r>
  <r>
    <x v="244"/>
    <s v="West"/>
    <s v="Laptop"/>
    <s v="Frank"/>
    <n v="13"/>
    <n v="932"/>
    <x v="2"/>
    <n v="12116"/>
    <n v="10170.08527"/>
    <n v="1945.9147290000001"/>
    <n v="0.16060702616375042"/>
  </r>
  <r>
    <x v="210"/>
    <s v="West"/>
    <s v="Laptop"/>
    <s v="David"/>
    <n v="19"/>
    <n v="1165"/>
    <x v="2"/>
    <n v="22135"/>
    <n v="14541.911330000001"/>
    <n v="7593.0886700000001"/>
    <n v="0.3430354041111362"/>
  </r>
  <r>
    <x v="86"/>
    <s v="East"/>
    <s v="Headphones"/>
    <s v="Frank"/>
    <n v="2"/>
    <n v="696"/>
    <x v="0"/>
    <n v="1392"/>
    <n v="1136.442677"/>
    <n v="255.557323"/>
    <n v="0.18359003089080458"/>
  </r>
  <r>
    <x v="5"/>
    <s v="West"/>
    <s v="Camera"/>
    <s v="Eva"/>
    <n v="12"/>
    <n v="492"/>
    <x v="2"/>
    <n v="5904"/>
    <n v="4132.3418730000003"/>
    <n v="1771.6581269999999"/>
    <n v="0.30007759603658535"/>
  </r>
  <r>
    <x v="12"/>
    <s v="South"/>
    <s v="Smartwatch"/>
    <s v="Charlie"/>
    <n v="15"/>
    <n v="799"/>
    <x v="0"/>
    <n v="11985"/>
    <n v="9287.6079420000005"/>
    <n v="2697.3920579999999"/>
    <n v="0.22506400150187733"/>
  </r>
  <r>
    <x v="27"/>
    <s v="South"/>
    <s v="Tablet"/>
    <s v="Grace"/>
    <n v="14"/>
    <n v="1746"/>
    <x v="2"/>
    <n v="24444"/>
    <n v="14949.91482"/>
    <n v="9494.0851829999992"/>
    <n v="0.38840145569464896"/>
  </r>
  <r>
    <x v="82"/>
    <s v="East"/>
    <s v="Smartwatch"/>
    <s v="Bob"/>
    <n v="6"/>
    <n v="1906"/>
    <x v="0"/>
    <n v="11436"/>
    <n v="8560.6846050000004"/>
    <n v="2875.3153950000001"/>
    <n v="0.25142666972717737"/>
  </r>
  <r>
    <x v="105"/>
    <s v="North"/>
    <s v="Tablet"/>
    <s v="Eva"/>
    <n v="18"/>
    <n v="540"/>
    <x v="2"/>
    <n v="9720"/>
    <n v="6265.5739009999998"/>
    <n v="3454.4260989999998"/>
    <n v="0.3553936315843621"/>
  </r>
  <r>
    <x v="150"/>
    <s v="Easst"/>
    <s v="Headphones"/>
    <s v="Charlie"/>
    <n v="5"/>
    <n v="1960"/>
    <x v="0"/>
    <n v="9800"/>
    <n v="7309.7814680000001"/>
    <n v="2490.2185319999999"/>
    <n v="0.25410393183673469"/>
  </r>
  <r>
    <x v="286"/>
    <s v="West"/>
    <s v="Laptop"/>
    <s v="Frank"/>
    <n v="18"/>
    <n v="1740"/>
    <x v="2"/>
    <n v="31320"/>
    <n v="20120.21039"/>
    <n v="11199.78961"/>
    <n v="0.35759226085568324"/>
  </r>
  <r>
    <x v="8"/>
    <s v="South"/>
    <s v="Camera"/>
    <s v="Frank"/>
    <n v="3"/>
    <n v="1629"/>
    <x v="2"/>
    <n v="4887"/>
    <n v="3573.0163590000002"/>
    <n v="1313.983641"/>
    <n v="0.26887326396562311"/>
  </r>
  <r>
    <x v="346"/>
    <s v="North"/>
    <s v="Laptop"/>
    <s v="Eva"/>
    <n v="3"/>
    <n v="1017"/>
    <x v="2"/>
    <n v="3051"/>
    <n v="1931.8512370000001"/>
    <n v="1119.1487629999999"/>
    <n v="0.3668137538511963"/>
  </r>
  <r>
    <x v="140"/>
    <s v="East"/>
    <s v="Smartwatch"/>
    <s v="David"/>
    <n v="10"/>
    <n v="419"/>
    <x v="0"/>
    <n v="4190"/>
    <n v="2790.4790579999999"/>
    <n v="1399.5209420000001"/>
    <n v="0.33401454463007163"/>
  </r>
  <r>
    <x v="347"/>
    <s v="East"/>
    <s v="Laptop"/>
    <s v="Frank"/>
    <n v="19"/>
    <n v="652"/>
    <x v="2"/>
    <n v="12388"/>
    <n v="9644.3513559999992"/>
    <n v="2743.6486439999999"/>
    <n v="0.22147631934129802"/>
  </r>
  <r>
    <x v="189"/>
    <s v="South"/>
    <s v="Headphones"/>
    <s v="David"/>
    <n v="3"/>
    <n v="1338"/>
    <x v="0"/>
    <n v="4014"/>
    <n v="3584.4947390000002"/>
    <n v="429.50526070000001"/>
    <n v="0.10700180884404584"/>
  </r>
  <r>
    <x v="249"/>
    <s v="East"/>
    <s v="Camera"/>
    <s v="David"/>
    <n v="12"/>
    <n v="1194"/>
    <x v="2"/>
    <n v="14328"/>
    <n v="10527.57581"/>
    <n v="3800.4241919999999"/>
    <n v="0.26524456951423786"/>
  </r>
  <r>
    <x v="229"/>
    <s v="East"/>
    <s v="Smartwatch"/>
    <s v="Grace"/>
    <n v="16"/>
    <n v="667"/>
    <x v="0"/>
    <n v="10672"/>
    <n v="8603.2552940000005"/>
    <n v="2068.744706"/>
    <n v="0.1938478922413793"/>
  </r>
  <r>
    <x v="132"/>
    <s v="South"/>
    <s v="Camera"/>
    <s v="David"/>
    <n v="17"/>
    <n v="1018"/>
    <x v="2"/>
    <n v="17306"/>
    <n v="13184.185009999999"/>
    <n v="4121.814993"/>
    <n v="0.23817259869409454"/>
  </r>
  <r>
    <x v="160"/>
    <s v="West"/>
    <s v="Monitor"/>
    <s v="Alice"/>
    <n v="7"/>
    <n v="335"/>
    <x v="1"/>
    <n v="2345"/>
    <n v="1757.5948069999999"/>
    <n v="587.40519319999999"/>
    <n v="0.25049261970149256"/>
  </r>
  <r>
    <x v="275"/>
    <s v="West"/>
    <s v="Tablet"/>
    <s v="Grace"/>
    <n v="13"/>
    <n v="1404"/>
    <x v="2"/>
    <n v="18252"/>
    <n v="11305.4943"/>
    <n v="6946.5056999999997"/>
    <n v="0.38058874095989481"/>
  </r>
  <r>
    <x v="204"/>
    <s v="East"/>
    <s v="Laptop"/>
    <s v="Charlie"/>
    <n v="2"/>
    <n v="1086"/>
    <x v="2"/>
    <n v="2172"/>
    <n v="1397.224187"/>
    <n v="774.77581269999996"/>
    <n v="0.35671077932780848"/>
  </r>
  <r>
    <x v="105"/>
    <s v="West"/>
    <s v="Camera"/>
    <s v="Charlie"/>
    <n v="4"/>
    <n v="1740"/>
    <x v="2"/>
    <n v="6960"/>
    <n v="6019.8245390000002"/>
    <n v="940.17546140000002"/>
    <n v="0.13508268123563219"/>
  </r>
  <r>
    <x v="311"/>
    <s v="West"/>
    <s v="Mobile"/>
    <s v="Frank"/>
    <n v="10"/>
    <n v="1285"/>
    <x v="2"/>
    <n v="12850"/>
    <n v="9291.1834340000005"/>
    <n v="3558.816566"/>
    <n v="0.27695070552529183"/>
  </r>
  <r>
    <x v="31"/>
    <s v="East"/>
    <s v="Monitor"/>
    <s v="Frank"/>
    <n v="7"/>
    <n v="1314"/>
    <x v="1"/>
    <n v="9198"/>
    <n v="7213.9890359999999"/>
    <n v="1984.0109640000001"/>
    <n v="0.21570025701239401"/>
  </r>
  <r>
    <x v="183"/>
    <s v="West"/>
    <s v="Laptop"/>
    <s v="David"/>
    <n v="17"/>
    <n v="1132"/>
    <x v="2"/>
    <n v="19244"/>
    <n v="14595.9961"/>
    <n v="4648.003901"/>
    <n v="0.24153003019122843"/>
  </r>
  <r>
    <x v="146"/>
    <s v="East"/>
    <s v="Tablet"/>
    <s v="Grace"/>
    <n v="6"/>
    <n v="159"/>
    <x v="2"/>
    <n v="954"/>
    <n v="680.83613700000001"/>
    <n v="273.16386299999999"/>
    <n v="0.286335286163522"/>
  </r>
  <r>
    <x v="269"/>
    <s v="North"/>
    <s v="Camera"/>
    <s v="Grace"/>
    <n v="19"/>
    <n v="992"/>
    <x v="2"/>
    <n v="18848"/>
    <n v="13501.66986"/>
    <n v="5346.3301410000004"/>
    <n v="0.28365503719227508"/>
  </r>
  <r>
    <x v="118"/>
    <s v="South"/>
    <s v="Smartwatch"/>
    <s v="Alice"/>
    <n v="5"/>
    <n v="1940"/>
    <x v="0"/>
    <n v="9700"/>
    <n v="7436.4031670000004"/>
    <n v="2263.5968330000001"/>
    <n v="0.23336049824742269"/>
  </r>
  <r>
    <x v="317"/>
    <s v="South"/>
    <s v="Tablet"/>
    <s v="David"/>
    <n v="10"/>
    <n v="324"/>
    <x v="2"/>
    <n v="3240"/>
    <n v="2081.1898310000001"/>
    <n v="1158.8101690000001"/>
    <n v="0.35765745956790124"/>
  </r>
  <r>
    <x v="238"/>
    <s v="West"/>
    <s v="Mobile"/>
    <s v="Alice"/>
    <n v="9"/>
    <n v="1942"/>
    <x v="2"/>
    <n v="17478"/>
    <n v="12517.35405"/>
    <n v="4960.6459480000003"/>
    <n v="0.28382228790479463"/>
  </r>
  <r>
    <x v="287"/>
    <s v="West"/>
    <s v="Camera"/>
    <s v="Hannah"/>
    <n v="13"/>
    <n v="799"/>
    <x v="2"/>
    <n v="10387"/>
    <n v="7625.0205720000004"/>
    <n v="2761.9794280000001"/>
    <n v="0.26590732916145182"/>
  </r>
  <r>
    <x v="50"/>
    <s v="West"/>
    <s v="Printer"/>
    <s v="David"/>
    <n v="19"/>
    <n v="681"/>
    <x v="1"/>
    <n v="12939"/>
    <n v="11587.364460000001"/>
    <n v="1351.635538"/>
    <n v="0.10446213293144756"/>
  </r>
  <r>
    <x v="34"/>
    <s v="South"/>
    <s v="Printer"/>
    <s v="Bob"/>
    <n v="6"/>
    <n v="1928"/>
    <x v="1"/>
    <n v="11568"/>
    <n v="8160.4886310000002"/>
    <n v="3407.5113689999998"/>
    <n v="0.29456356924273858"/>
  </r>
  <r>
    <x v="108"/>
    <s v="North"/>
    <s v="Headphones"/>
    <s v="Bob"/>
    <n v="4"/>
    <n v="1410"/>
    <x v="0"/>
    <n v="5640"/>
    <n v="4474.6274919999996"/>
    <n v="1165.3725079999999"/>
    <n v="0.20662633120567375"/>
  </r>
  <r>
    <x v="13"/>
    <s v="North"/>
    <s v="Laptop"/>
    <s v="Eva"/>
    <n v="-1"/>
    <n v="1093"/>
    <x v="2"/>
    <n v="-1093"/>
    <n v="-700.85854240000003"/>
    <n v="-392.14145760000002"/>
    <n v="0.35877535004574568"/>
  </r>
  <r>
    <x v="209"/>
    <s v="South"/>
    <s v="Smartwatch"/>
    <s v="David"/>
    <n v="3"/>
    <n v="268"/>
    <x v="0"/>
    <n v="804"/>
    <n v="498.19410929999998"/>
    <n v="305.80589070000002"/>
    <n v="0.38035558544776121"/>
  </r>
  <r>
    <x v="348"/>
    <s v="North"/>
    <s v="Headphones"/>
    <s v="Grace"/>
    <n v="4"/>
    <n v="1185"/>
    <x v="0"/>
    <n v="4740"/>
    <n v="4083.3327439999998"/>
    <n v="656.66725610000003"/>
    <n v="0.13853739580168778"/>
  </r>
  <r>
    <x v="182"/>
    <s v="South"/>
    <s v="Camera"/>
    <s v="Frank"/>
    <n v="5"/>
    <n v="1472"/>
    <x v="2"/>
    <n v="7360"/>
    <n v="6029.462665"/>
    <n v="1330.537335"/>
    <n v="0.18077952921195653"/>
  </r>
  <r>
    <x v="63"/>
    <s v="North"/>
    <s v="Printer"/>
    <s v="Charlie"/>
    <n v="8"/>
    <n v="1565"/>
    <x v="1"/>
    <n v="12520"/>
    <n v="8704.5273240000006"/>
    <n v="3815.4726759999999"/>
    <n v="0.30475021373801914"/>
  </r>
  <r>
    <x v="349"/>
    <s v="East"/>
    <s v="Printer"/>
    <s v="Eva"/>
    <n v="16"/>
    <n v="113"/>
    <x v="1"/>
    <n v="1808"/>
    <n v="1358.483109"/>
    <n v="449.51689119999998"/>
    <n v="0.24862659911504423"/>
  </r>
  <r>
    <x v="34"/>
    <s v="East"/>
    <s v="Printer"/>
    <s v="Frank"/>
    <n v="3"/>
    <n v="263"/>
    <x v="1"/>
    <n v="789"/>
    <n v="505.53064849999998"/>
    <n v="283.46935150000002"/>
    <n v="0.35927674461343473"/>
  </r>
  <r>
    <x v="209"/>
    <s v="South"/>
    <s v="Camera"/>
    <s v="Bob"/>
    <n v="12"/>
    <n v="1543"/>
    <x v="2"/>
    <n v="18516"/>
    <n v="15037.734"/>
    <n v="3478.2659990000002"/>
    <n v="0.18785191180600563"/>
  </r>
  <r>
    <x v="259"/>
    <s v="North"/>
    <s v="Printer"/>
    <s v="David"/>
    <n v="8"/>
    <n v="856"/>
    <x v="1"/>
    <n v="6848"/>
    <n v="4253.2871679999998"/>
    <n v="2594.7128320000002"/>
    <n v="0.37890082242990658"/>
  </r>
  <r>
    <x v="1"/>
    <s v="West"/>
    <s v="Tablet"/>
    <s v="Eva"/>
    <n v="13"/>
    <n v="1970"/>
    <x v="2"/>
    <n v="25610"/>
    <n v="21182.28498"/>
    <n v="4427.7150240000001"/>
    <n v="0.172890082936353"/>
  </r>
  <r>
    <x v="301"/>
    <s v="North"/>
    <s v="Monitor"/>
    <s v="David"/>
    <n v="4"/>
    <n v="1643"/>
    <x v="1"/>
    <n v="6572"/>
    <n v="5021.3428640000002"/>
    <n v="1550.657136"/>
    <n v="0.23594904686548995"/>
  </r>
  <r>
    <x v="222"/>
    <s v="East"/>
    <s v="Camera"/>
    <s v="Bob"/>
    <n v="14"/>
    <n v="1789"/>
    <x v="2"/>
    <n v="25046"/>
    <n v="17122.827109999998"/>
    <n v="7923.1728869999997"/>
    <n v="0.3163448409726104"/>
  </r>
  <r>
    <x v="219"/>
    <s v="Unknown"/>
    <s v="Smartwatch"/>
    <s v="Eva"/>
    <n v="14"/>
    <n v="1671"/>
    <x v="0"/>
    <n v="23394"/>
    <n v="20090.119330000001"/>
    <n v="3303.8806679999998"/>
    <n v="0.14122769376763272"/>
  </r>
  <r>
    <x v="152"/>
    <s v="North"/>
    <s v="Monitor"/>
    <s v="Bob"/>
    <n v="13"/>
    <n v="1683"/>
    <x v="1"/>
    <n v="21879"/>
    <n v="19599.679940000002"/>
    <n v="2279.3200649999999"/>
    <n v="0.10417843891402714"/>
  </r>
  <r>
    <x v="203"/>
    <s v="North"/>
    <s v="Headphones"/>
    <s v="Alice"/>
    <n v="6"/>
    <n v="1720"/>
    <x v="0"/>
    <n v="10320"/>
    <n v="6979.464817"/>
    <n v="3340.535183"/>
    <n v="0.32369526967054263"/>
  </r>
  <r>
    <x v="94"/>
    <s v="West"/>
    <s v="Monitor"/>
    <s v="Grace"/>
    <n v="4"/>
    <n v="1831"/>
    <x v="1"/>
    <n v="7324"/>
    <n v="6042.66543"/>
    <n v="1281.33457"/>
    <n v="0.17495010513380665"/>
  </r>
  <r>
    <x v="56"/>
    <s v="North"/>
    <s v="Mobile"/>
    <s v="Grace"/>
    <n v="8"/>
    <n v="545"/>
    <x v="2"/>
    <n v="4360"/>
    <n v="3593.3246779999999"/>
    <n v="766.67532159999996"/>
    <n v="0.17584296366972477"/>
  </r>
  <r>
    <x v="316"/>
    <s v="North"/>
    <s v="Printer"/>
    <s v="David"/>
    <n v="17"/>
    <n v="1331"/>
    <x v="1"/>
    <n v="22627"/>
    <n v="20074.011050000001"/>
    <n v="2552.9889459999999"/>
    <n v="0.11282931656870111"/>
  </r>
  <r>
    <x v="298"/>
    <s v="North"/>
    <s v="Laptop"/>
    <s v="Bob"/>
    <n v="17"/>
    <n v="815"/>
    <x v="2"/>
    <n v="13855"/>
    <n v="11115.179459999999"/>
    <n v="2739.8205389999998"/>
    <n v="0.19774958780223745"/>
  </r>
  <r>
    <x v="327"/>
    <s v="South"/>
    <s v="Laptop"/>
    <s v="Frank"/>
    <n v="9"/>
    <n v="1075"/>
    <x v="2"/>
    <n v="9675"/>
    <n v="8196.304048"/>
    <n v="1478.695952"/>
    <n v="0.15283679090439276"/>
  </r>
  <r>
    <x v="32"/>
    <s v="North"/>
    <s v="Monitor"/>
    <s v="Grace"/>
    <n v="2"/>
    <n v="918"/>
    <x v="1"/>
    <n v="1836"/>
    <n v="1365.728674"/>
    <n v="470.27132610000001"/>
    <n v="0.25613906650326795"/>
  </r>
  <r>
    <x v="161"/>
    <s v="West"/>
    <s v="Mobile"/>
    <s v="Hannah"/>
    <n v="13"/>
    <n v="203"/>
    <x v="2"/>
    <n v="2639"/>
    <n v="1964.5490830000001"/>
    <n v="674.45091669999999"/>
    <n v="0.255570639143615"/>
  </r>
  <r>
    <x v="50"/>
    <s v="South"/>
    <s v="Smartwatch"/>
    <s v="Alice"/>
    <n v="11"/>
    <n v="525"/>
    <x v="0"/>
    <n v="5775"/>
    <n v="4817.7805470000003"/>
    <n v="957.21945249999999"/>
    <n v="0.16575228614718615"/>
  </r>
  <r>
    <x v="335"/>
    <s v="North"/>
    <s v="Laptop"/>
    <s v="Eva"/>
    <n v="15"/>
    <n v="1224"/>
    <x v="2"/>
    <n v="18360"/>
    <n v="14795.566349999999"/>
    <n v="3564.4336450000001"/>
    <n v="0.19414126606753812"/>
  </r>
  <r>
    <x v="117"/>
    <s v="East"/>
    <s v="Laptop"/>
    <s v="Eva"/>
    <n v="11"/>
    <n v="1664"/>
    <x v="2"/>
    <n v="18304"/>
    <n v="13459.699420000001"/>
    <n v="4844.3005839999996"/>
    <n v="0.26465803015734263"/>
  </r>
  <r>
    <x v="10"/>
    <s v="South"/>
    <s v="Mobile"/>
    <s v="Grace"/>
    <n v="3"/>
    <n v="738"/>
    <x v="2"/>
    <n v="2214"/>
    <n v="1606.9234080000001"/>
    <n v="607.07659220000005"/>
    <n v="0.27419900280036136"/>
  </r>
  <r>
    <x v="209"/>
    <s v="North"/>
    <s v="Mobile"/>
    <s v="Grace"/>
    <n v="12"/>
    <n v="1645"/>
    <x v="2"/>
    <n v="19740"/>
    <n v="11882.49979"/>
    <n v="7857.5002080000004"/>
    <n v="0.39804965592705172"/>
  </r>
  <r>
    <x v="237"/>
    <s v="North"/>
    <s v="Smartwatch"/>
    <s v="Eva"/>
    <n v="5"/>
    <n v="1229"/>
    <x v="0"/>
    <n v="6145"/>
    <n v="4662.0160269999997"/>
    <n v="1482.9839730000001"/>
    <n v="0.24133181008950369"/>
  </r>
  <r>
    <x v="199"/>
    <s v="West"/>
    <s v="Headphones"/>
    <s v="Hannah"/>
    <n v="7"/>
    <n v="1802"/>
    <x v="0"/>
    <n v="12614"/>
    <n v="9148.2764520000001"/>
    <n v="3465.7235479999999"/>
    <n v="0.27475214428412875"/>
  </r>
  <r>
    <x v="141"/>
    <s v="North"/>
    <s v="Camera"/>
    <s v="Bob"/>
    <n v="7"/>
    <n v="868"/>
    <x v="2"/>
    <n v="6076"/>
    <n v="5096.6158059999998"/>
    <n v="979.38419409999995"/>
    <n v="0.16118897203752469"/>
  </r>
  <r>
    <x v="290"/>
    <s v="North"/>
    <s v="Laptop"/>
    <s v="Charlie"/>
    <n v="13"/>
    <n v="1930"/>
    <x v="2"/>
    <n v="25090"/>
    <n v="19138.557079999999"/>
    <n v="5951.4429179999997"/>
    <n v="0.23720378310083698"/>
  </r>
  <r>
    <x v="206"/>
    <s v="South"/>
    <s v="Smartwatch"/>
    <s v="David"/>
    <n v="9"/>
    <n v="376"/>
    <x v="0"/>
    <n v="3384"/>
    <n v="2981.3439749999998"/>
    <n v="402.65602480000001"/>
    <n v="0.11898818699763594"/>
  </r>
  <r>
    <x v="234"/>
    <s v="West"/>
    <s v="Mobile"/>
    <s v="Bob"/>
    <n v="13"/>
    <n v="1188"/>
    <x v="2"/>
    <n v="15444"/>
    <n v="10175.15955"/>
    <n v="5268.840451"/>
    <n v="0.34115776036001039"/>
  </r>
  <r>
    <x v="285"/>
    <s v="South"/>
    <s v="Unknown"/>
    <s v="Bob"/>
    <n v="12"/>
    <n v="1906"/>
    <x v="2"/>
    <n v="22872"/>
    <n v="20517.21558"/>
    <n v="2354.7844239999999"/>
    <n v="0.10295489786638684"/>
  </r>
  <r>
    <x v="261"/>
    <s v="East"/>
    <s v="Headphones"/>
    <s v="unknown"/>
    <n v="13"/>
    <n v="999"/>
    <x v="0"/>
    <n v="12987"/>
    <n v="8952.9229730000006"/>
    <n v="4034.0770269999998"/>
    <n v="0.31062424170324171"/>
  </r>
  <r>
    <x v="173"/>
    <s v="North"/>
    <s v="Laptop"/>
    <s v="David"/>
    <n v="10"/>
    <n v="287"/>
    <x v="2"/>
    <n v="2870"/>
    <n v="2275.1270410000002"/>
    <n v="594.87295879999999"/>
    <n v="0.20727280794425088"/>
  </r>
  <r>
    <x v="21"/>
    <s v="East"/>
    <s v="Laptop"/>
    <s v="Hannah"/>
    <n v="1"/>
    <n v="1440"/>
    <x v="2"/>
    <n v="1440"/>
    <n v="1080.800804"/>
    <n v="359.19919570000002"/>
    <n v="0.2494438859027778"/>
  </r>
  <r>
    <x v="170"/>
    <s v="South"/>
    <s v="Tablet"/>
    <s v="Alice"/>
    <n v="8"/>
    <n v="1261"/>
    <x v="2"/>
    <n v="10088"/>
    <n v="7141.0220209999998"/>
    <n v="2946.9779789999998"/>
    <n v="0.29212707959952416"/>
  </r>
  <r>
    <x v="310"/>
    <s v="North"/>
    <s v="Laptop"/>
    <s v="Hannah"/>
    <n v="16"/>
    <n v="1466"/>
    <x v="2"/>
    <n v="23456"/>
    <n v="15053.89086"/>
    <n v="8402.1091390000001"/>
    <n v="0.35820724501193724"/>
  </r>
  <r>
    <x v="164"/>
    <s v="North"/>
    <s v="Headphones"/>
    <s v="Hannah"/>
    <n v="13"/>
    <n v="204"/>
    <x v="0"/>
    <n v="2652"/>
    <n v="1698.4740509999999"/>
    <n v="953.52594910000005"/>
    <n v="0.3595497545625943"/>
  </r>
  <r>
    <x v="174"/>
    <s v="South"/>
    <s v="Printer"/>
    <s v="Hannah"/>
    <n v="3"/>
    <n v="645"/>
    <x v="1"/>
    <n v="1935"/>
    <n v="1574.029133"/>
    <n v="360.97086719999999"/>
    <n v="0.18654825178294573"/>
  </r>
  <r>
    <x v="121"/>
    <s v="South"/>
    <s v="Tablet"/>
    <s v="Frank"/>
    <n v="3"/>
    <n v="479"/>
    <x v="2"/>
    <n v="1437"/>
    <n v="1025.0011999999999"/>
    <n v="411.99879979999997"/>
    <n v="0.28670758510786359"/>
  </r>
  <r>
    <x v="249"/>
    <s v="South"/>
    <s v="Tablet"/>
    <s v="Grace"/>
    <n v="5"/>
    <n v="209"/>
    <x v="2"/>
    <n v="1045"/>
    <n v="928.36691489999998"/>
    <n v="116.6330851"/>
    <n v="0.11161060775119618"/>
  </r>
  <r>
    <x v="30"/>
    <s v="South"/>
    <s v="Unknown"/>
    <s v="Eva"/>
    <n v="11"/>
    <n v="644"/>
    <x v="2"/>
    <n v="7084"/>
    <n v="4942.4681639999999"/>
    <n v="2141.5318360000001"/>
    <n v="0.30230545398080183"/>
  </r>
  <r>
    <x v="304"/>
    <s v="South"/>
    <s v="Mobile"/>
    <s v="Grace"/>
    <n v="7"/>
    <n v="453"/>
    <x v="2"/>
    <n v="3171"/>
    <n v="2838.2261159999998"/>
    <n v="332.77388350000001"/>
    <n v="0.1049428834752444"/>
  </r>
  <r>
    <x v="55"/>
    <s v="North"/>
    <s v="Laptop"/>
    <s v="Charlie"/>
    <n v="10"/>
    <n v="842"/>
    <x v="2"/>
    <n v="8420"/>
    <n v="5570.8991459999997"/>
    <n v="2849.1008539999998"/>
    <n v="0.33837302304038003"/>
  </r>
  <r>
    <x v="295"/>
    <s v="South"/>
    <s v="Tablet"/>
    <s v="Hannah"/>
    <n v="10"/>
    <n v="416"/>
    <x v="2"/>
    <n v="4160"/>
    <n v="2624.3123540000001"/>
    <n v="1535.6876460000001"/>
    <n v="0.36915568413461541"/>
  </r>
  <r>
    <x v="340"/>
    <s v="North"/>
    <s v="Mobile"/>
    <s v="unknown"/>
    <n v="3"/>
    <n v="1817"/>
    <x v="2"/>
    <n v="5451"/>
    <n v="4718.7968060000003"/>
    <n v="732.20319380000001"/>
    <n v="0.13432456316272243"/>
  </r>
  <r>
    <x v="142"/>
    <s v="South"/>
    <s v="Headphones"/>
    <s v="Grace"/>
    <n v="8"/>
    <n v="1975"/>
    <x v="0"/>
    <n v="15800"/>
    <n v="11953.578219999999"/>
    <n v="3846.4217829999998"/>
    <n v="0.24344441664556959"/>
  </r>
  <r>
    <x v="186"/>
    <s v="South"/>
    <s v="Monitor"/>
    <s v="Eva"/>
    <n v="11"/>
    <n v="1188"/>
    <x v="1"/>
    <n v="13068"/>
    <n v="8372.6026750000001"/>
    <n v="4695.3973249999999"/>
    <n v="0.35930496824303643"/>
  </r>
  <r>
    <x v="307"/>
    <s v="West"/>
    <s v="Mobile"/>
    <s v="David"/>
    <n v="13"/>
    <n v="432"/>
    <x v="2"/>
    <n v="5616"/>
    <n v="3710.770399"/>
    <n v="1905.229601"/>
    <n v="0.33925028507834759"/>
  </r>
  <r>
    <x v="221"/>
    <s v="North"/>
    <s v="Camera"/>
    <s v="Grace"/>
    <n v="7"/>
    <n v="1636"/>
    <x v="2"/>
    <n v="11452"/>
    <n v="7940.5671309999998"/>
    <n v="3511.4328690000002"/>
    <n v="0.30662180134474332"/>
  </r>
  <r>
    <x v="90"/>
    <s v="South"/>
    <s v="Camera"/>
    <s v="Bob"/>
    <n v="13"/>
    <n v="1256"/>
    <x v="2"/>
    <n v="16328"/>
    <n v="12687.67275"/>
    <n v="3640.3272510000002"/>
    <n v="0.2229499786256737"/>
  </r>
  <r>
    <x v="100"/>
    <s v="South"/>
    <s v="Mobile"/>
    <s v="Grace"/>
    <n v="2"/>
    <n v="691"/>
    <x v="2"/>
    <n v="1382"/>
    <n v="967.00430849999998"/>
    <n v="414.99569150000002"/>
    <n v="0.30028631801736616"/>
  </r>
  <r>
    <x v="202"/>
    <s v="South"/>
    <s v="Tablet"/>
    <s v="Bob"/>
    <n v="6"/>
    <n v="882"/>
    <x v="2"/>
    <n v="5292"/>
    <n v="4361.2230609999997"/>
    <n v="930.77693929999998"/>
    <n v="0.17588377537792896"/>
  </r>
  <r>
    <x v="118"/>
    <s v="West"/>
    <s v="Unknown"/>
    <s v="David"/>
    <n v="9"/>
    <n v="1876"/>
    <x v="1"/>
    <n v="16884"/>
    <n v="13252.05012"/>
    <n v="3631.9498789999998"/>
    <n v="0.21511193313195923"/>
  </r>
  <r>
    <x v="193"/>
    <s v="West"/>
    <s v="Printer"/>
    <s v="Grace"/>
    <n v="2"/>
    <n v="639"/>
    <x v="1"/>
    <n v="1278"/>
    <n v="1101.8240209999999"/>
    <n v="176.17597910000001"/>
    <n v="0.13785287879499217"/>
  </r>
  <r>
    <x v="47"/>
    <s v="East"/>
    <s v="Tablet"/>
    <s v="Alice"/>
    <n v="18"/>
    <n v="834"/>
    <x v="2"/>
    <n v="15012"/>
    <n v="11263.331679999999"/>
    <n v="3748.6683189999999"/>
    <n v="0.24971145210498266"/>
  </r>
  <r>
    <x v="217"/>
    <s v="North"/>
    <s v="Smartwatch"/>
    <s v="unknown"/>
    <n v="16"/>
    <n v="1658"/>
    <x v="0"/>
    <n v="26528"/>
    <n v="18552.434369999999"/>
    <n v="7975.5656259999996"/>
    <n v="0.30064707576899879"/>
  </r>
  <r>
    <x v="210"/>
    <s v="East"/>
    <s v="Printer"/>
    <s v="Charlie"/>
    <n v="12"/>
    <n v="1619"/>
    <x v="1"/>
    <n v="19428"/>
    <n v="17463.469209999999"/>
    <n v="1964.530794"/>
    <n v="0.10111852964793082"/>
  </r>
  <r>
    <x v="33"/>
    <s v="South"/>
    <s v="Camera"/>
    <s v="David"/>
    <n v="7"/>
    <n v="720"/>
    <x v="2"/>
    <n v="5040"/>
    <n v="3561.7175830000001"/>
    <n v="1478.2824169999999"/>
    <n v="0.29331000337301583"/>
  </r>
  <r>
    <x v="75"/>
    <s v="West"/>
    <s v="Headphones"/>
    <s v="Hannah"/>
    <n v="7"/>
    <n v="718"/>
    <x v="0"/>
    <n v="5026"/>
    <n v="3661.8470600000001"/>
    <n v="1364.1529399999999"/>
    <n v="0.27141920811778747"/>
  </r>
  <r>
    <x v="53"/>
    <s v="West"/>
    <s v="Tablet"/>
    <s v="Alice"/>
    <n v="17"/>
    <n v="1780"/>
    <x v="2"/>
    <n v="30260"/>
    <n v="25501.256949999999"/>
    <n v="4758.7430480000003"/>
    <n v="0.15726183238598812"/>
  </r>
  <r>
    <x v="64"/>
    <s v="East"/>
    <s v="Laptop"/>
    <s v="Grace"/>
    <n v="13"/>
    <n v="1492"/>
    <x v="2"/>
    <n v="19396"/>
    <n v="12153.356519999999"/>
    <n v="7242.6434820000004"/>
    <n v="0.37340912982058161"/>
  </r>
  <r>
    <x v="189"/>
    <s v="West"/>
    <s v="Camera"/>
    <s v="David"/>
    <n v="11"/>
    <n v="1989"/>
    <x v="2"/>
    <n v="21879"/>
    <n v="15664.205110000001"/>
    <n v="6214.7948909999996"/>
    <n v="0.28405296818867404"/>
  </r>
  <r>
    <x v="237"/>
    <s v="South"/>
    <s v="Headphones"/>
    <s v="Eva"/>
    <n v="6"/>
    <n v="1008"/>
    <x v="0"/>
    <n v="6048"/>
    <n v="3784.312394"/>
    <n v="2263.687606"/>
    <n v="0.37428697189153437"/>
  </r>
  <r>
    <x v="28"/>
    <s v="West"/>
    <s v="Headphones"/>
    <s v="Bob"/>
    <n v="14"/>
    <n v="1774"/>
    <x v="0"/>
    <n v="24836"/>
    <n v="15939.540150000001"/>
    <n v="8896.4598490000008"/>
    <n v="0.35820824001449514"/>
  </r>
  <r>
    <x v="8"/>
    <s v="East"/>
    <s v="Tablet"/>
    <s v="Grace"/>
    <n v="6"/>
    <n v="1919"/>
    <x v="2"/>
    <n v="11514"/>
    <n v="6924.4303389999995"/>
    <n v="4589.5696610000005"/>
    <n v="0.3986077523883968"/>
  </r>
  <r>
    <x v="150"/>
    <s v="East"/>
    <s v="Tablet"/>
    <s v="Bob"/>
    <n v="2"/>
    <n v="1091"/>
    <x v="2"/>
    <n v="2182"/>
    <n v="1558.136452"/>
    <n v="623.86354749999998"/>
    <n v="0.28591363313473878"/>
  </r>
  <r>
    <x v="350"/>
    <s v="West"/>
    <s v="Printer"/>
    <s v="Hannah"/>
    <n v="15"/>
    <n v="198"/>
    <x v="1"/>
    <n v="2970"/>
    <n v="2502.96495"/>
    <n v="467.03504980000002"/>
    <n v="0.15725085851851853"/>
  </r>
  <r>
    <x v="267"/>
    <s v="East"/>
    <s v="Mobile"/>
    <s v="David"/>
    <n v="17"/>
    <n v="416"/>
    <x v="2"/>
    <n v="7072"/>
    <n v="5488.5884509999996"/>
    <n v="1583.4115489999999"/>
    <n v="0.22389869188348416"/>
  </r>
  <r>
    <x v="350"/>
    <s v="East"/>
    <s v="Camera"/>
    <s v="David"/>
    <n v="8"/>
    <n v="222"/>
    <x v="2"/>
    <n v="1776"/>
    <n v="1403.8822029999999"/>
    <n v="372.11779730000001"/>
    <n v="0.20952578676801803"/>
  </r>
  <r>
    <x v="44"/>
    <s v="North"/>
    <s v="Smartwatch"/>
    <s v="Charlie"/>
    <n v="5"/>
    <n v="1443"/>
    <x v="0"/>
    <n v="7215"/>
    <n v="5452.9149749999997"/>
    <n v="1762.0850250000001"/>
    <n v="0.2442252286902287"/>
  </r>
  <r>
    <x v="83"/>
    <s v="West"/>
    <s v="Mobile"/>
    <s v="Bob"/>
    <n v="17"/>
    <n v="898"/>
    <x v="2"/>
    <n v="15266"/>
    <n v="12914.08864"/>
    <n v="2351.9113579999998"/>
    <n v="0.154062056727368"/>
  </r>
  <r>
    <x v="331"/>
    <s v="West"/>
    <s v="Camera"/>
    <s v="Charlie"/>
    <n v="1"/>
    <n v="1716"/>
    <x v="2"/>
    <n v="1716"/>
    <n v="1482.818968"/>
    <n v="233.1810323"/>
    <n v="0.13588638245920745"/>
  </r>
  <r>
    <x v="73"/>
    <s v="East"/>
    <s v="Tablet"/>
    <s v="Hannah"/>
    <n v="18"/>
    <n v="1618"/>
    <x v="2"/>
    <n v="29124"/>
    <n v="24898.754690000002"/>
    <n v="4225.2453100000002"/>
    <n v="0.1450777815547315"/>
  </r>
  <r>
    <x v="205"/>
    <s v="North"/>
    <s v="Camera"/>
    <s v="Bob"/>
    <n v="15"/>
    <n v="556"/>
    <x v="2"/>
    <n v="8340"/>
    <n v="7035.9545289999996"/>
    <n v="1304.0454709999999"/>
    <n v="0.15636036822541965"/>
  </r>
  <r>
    <x v="108"/>
    <s v="West"/>
    <s v="Printer"/>
    <s v="Charlie"/>
    <n v="5"/>
    <n v="621"/>
    <x v="1"/>
    <n v="3105"/>
    <n v="2033.197228"/>
    <n v="1071.802772"/>
    <n v="0.3451860779388084"/>
  </r>
  <r>
    <x v="93"/>
    <s v="South"/>
    <s v="Tablet"/>
    <s v="Charlie"/>
    <n v="7"/>
    <n v="619"/>
    <x v="2"/>
    <n v="4333"/>
    <n v="3371.7797049999999"/>
    <n v="961.22029459999999"/>
    <n v="0.2218371323794138"/>
  </r>
  <r>
    <x v="215"/>
    <s v="East"/>
    <s v="Mobile"/>
    <s v="Eva"/>
    <n v="18"/>
    <n v="1016"/>
    <x v="2"/>
    <n v="18288"/>
    <n v="14166.78016"/>
    <n v="4121.2198410000001"/>
    <n v="0.22535104117454069"/>
  </r>
  <r>
    <x v="351"/>
    <s v="West"/>
    <s v="Laptop"/>
    <s v="Charlie"/>
    <n v="6"/>
    <n v="816"/>
    <x v="2"/>
    <n v="4896"/>
    <n v="3713.0441529999998"/>
    <n v="1182.9558469999999"/>
    <n v="0.24161679881535947"/>
  </r>
  <r>
    <x v="281"/>
    <s v="South"/>
    <s v="Laptop"/>
    <s v="David"/>
    <n v="5"/>
    <n v="414"/>
    <x v="2"/>
    <n v="2070"/>
    <n v="1540.584742"/>
    <n v="529.41525779999995"/>
    <n v="0.25575616318840577"/>
  </r>
  <r>
    <x v="195"/>
    <s v="West"/>
    <s v="Monitor"/>
    <s v="Charlie"/>
    <n v="19"/>
    <n v="808"/>
    <x v="1"/>
    <n v="15352"/>
    <n v="9621.8835500000005"/>
    <n v="5730.1164500000004"/>
    <n v="0.37324885682647213"/>
  </r>
  <r>
    <x v="248"/>
    <s v="South"/>
    <s v="Monitor"/>
    <s v="Bob"/>
    <n v="10"/>
    <n v="809"/>
    <x v="1"/>
    <n v="8090"/>
    <n v="5101.9501689999997"/>
    <n v="2988.0498309999998"/>
    <n v="0.369351029789864"/>
  </r>
  <r>
    <x v="120"/>
    <s v="East"/>
    <s v="Camera"/>
    <s v="Charlie"/>
    <n v="15"/>
    <n v="1665"/>
    <x v="2"/>
    <n v="24975"/>
    <n v="21745.344669999999"/>
    <n v="3229.6553330000002"/>
    <n v="0.12931552884884887"/>
  </r>
  <r>
    <x v="328"/>
    <s v="West"/>
    <s v="Laptop"/>
    <s v="Alice"/>
    <n v="10"/>
    <n v="1602"/>
    <x v="2"/>
    <n v="16020"/>
    <n v="12640.676030000001"/>
    <n v="3379.3239739999999"/>
    <n v="0.21094406828963794"/>
  </r>
  <r>
    <x v="158"/>
    <s v="West"/>
    <s v="Tablet"/>
    <s v="Frank"/>
    <n v="16"/>
    <n v="1143"/>
    <x v="2"/>
    <n v="18288"/>
    <n v="12411.97717"/>
    <n v="5876.0228340000003"/>
    <n v="0.32130483562992129"/>
  </r>
  <r>
    <x v="8"/>
    <s v="North"/>
    <s v="Headphones"/>
    <s v="Bob"/>
    <n v="12"/>
    <n v="659"/>
    <x v="0"/>
    <n v="7908"/>
    <n v="5407.4122429999998"/>
    <n v="2500.5877569999998"/>
    <n v="0.31620988328275162"/>
  </r>
  <r>
    <x v="100"/>
    <s v="East"/>
    <s v="Tablet"/>
    <s v="Alice"/>
    <n v="18"/>
    <n v="1068"/>
    <x v="2"/>
    <n v="19224"/>
    <n v="15053.51563"/>
    <n v="4170.484367"/>
    <n v="0.21694155050977945"/>
  </r>
  <r>
    <x v="179"/>
    <s v="South"/>
    <s v="Headphones"/>
    <s v="Hannah"/>
    <n v="1"/>
    <n v="1253"/>
    <x v="0"/>
    <n v="1253"/>
    <n v="904.76685699999996"/>
    <n v="348.23314299999998"/>
    <n v="0.27791950758180367"/>
  </r>
  <r>
    <x v="163"/>
    <s v="West"/>
    <s v="Mobile"/>
    <s v="Bob"/>
    <n v="16"/>
    <n v="1416"/>
    <x v="2"/>
    <n v="22656"/>
    <n v="16593.192129999999"/>
    <n v="6062.8078750000004"/>
    <n v="0.26760274871998591"/>
  </r>
  <r>
    <x v="282"/>
    <s v="West"/>
    <s v="Smartwatch"/>
    <s v="David"/>
    <n v="6"/>
    <n v="1255"/>
    <x v="0"/>
    <n v="7530"/>
    <n v="4655.0083290000002"/>
    <n v="2874.9916710000002"/>
    <n v="0.38180500278884466"/>
  </r>
  <r>
    <x v="133"/>
    <s v="South"/>
    <s v="Headphones"/>
    <s v="Frank"/>
    <n v="3"/>
    <n v="455"/>
    <x v="0"/>
    <n v="1365"/>
    <n v="875.81369710000001"/>
    <n v="489.18630289999999"/>
    <n v="0.35837824388278389"/>
  </r>
  <r>
    <x v="252"/>
    <s v="East"/>
    <s v="Laptop"/>
    <s v="Frank"/>
    <n v="2"/>
    <n v="1177"/>
    <x v="2"/>
    <n v="2354"/>
    <n v="1690.1840709999999"/>
    <n v="663.81592880000005"/>
    <n v="0.28199487204757862"/>
  </r>
  <r>
    <x v="112"/>
    <s v="North"/>
    <s v="Tablet"/>
    <s v="David"/>
    <n v="2"/>
    <n v="989"/>
    <x v="2"/>
    <n v="1978"/>
    <n v="1601.9939220000001"/>
    <n v="376.00607839999998"/>
    <n v="0.19009407401415571"/>
  </r>
  <r>
    <x v="332"/>
    <s v="North"/>
    <s v="Mobile"/>
    <s v="Frank"/>
    <n v="13"/>
    <n v="892"/>
    <x v="2"/>
    <n v="11596"/>
    <n v="7124.6707180000003"/>
    <n v="4471.3292819999997"/>
    <n v="0.38559238375301824"/>
  </r>
  <r>
    <x v="77"/>
    <s v="West"/>
    <s v="Laptop"/>
    <s v="David"/>
    <n v="9"/>
    <n v="1510"/>
    <x v="2"/>
    <n v="13590"/>
    <n v="9517.9921209999993"/>
    <n v="4072.0078789999998"/>
    <n v="0.29963266217807211"/>
  </r>
  <r>
    <x v="313"/>
    <s v="South"/>
    <s v="Mobile"/>
    <s v="Alice"/>
    <n v="16"/>
    <n v="364"/>
    <x v="2"/>
    <n v="5824"/>
    <n v="4708.8297140000004"/>
    <n v="1115.170286"/>
    <n v="0.19147841449175826"/>
  </r>
  <r>
    <x v="196"/>
    <s v="West"/>
    <s v="Smartwatch"/>
    <s v="Hannah"/>
    <n v="5"/>
    <n v="1081"/>
    <x v="0"/>
    <n v="5405"/>
    <n v="4527.3103570000003"/>
    <n v="877.68964329999994"/>
    <n v="0.16238476286771505"/>
  </r>
  <r>
    <x v="141"/>
    <s v="South"/>
    <s v="Printer"/>
    <s v="Eva"/>
    <n v="7"/>
    <n v="1338"/>
    <x v="1"/>
    <n v="9366"/>
    <n v="6154.0821340000002"/>
    <n v="3211.9178659999998"/>
    <n v="0.3429337888105915"/>
  </r>
  <r>
    <x v="181"/>
    <s v="North"/>
    <s v="Tablet"/>
    <s v="Bob"/>
    <n v="13"/>
    <n v="1583"/>
    <x v="2"/>
    <n v="20579"/>
    <n v="16863.382109999999"/>
    <n v="3715.617894"/>
    <n v="0.18055386044025462"/>
  </r>
  <r>
    <x v="247"/>
    <s v="East"/>
    <s v="Camera"/>
    <s v="David"/>
    <n v="13"/>
    <n v="1581"/>
    <x v="2"/>
    <n v="20553"/>
    <n v="18222.772959999998"/>
    <n v="2330.2270349999999"/>
    <n v="0.11337649175302875"/>
  </r>
  <r>
    <x v="349"/>
    <s v="South"/>
    <s v="Tablet"/>
    <s v="Bob"/>
    <n v="7"/>
    <n v="901"/>
    <x v="2"/>
    <n v="6307"/>
    <n v="5499.9792690000004"/>
    <n v="807.02073080000002"/>
    <n v="0.12795635497066751"/>
  </r>
  <r>
    <x v="240"/>
    <s v="North"/>
    <s v="Monitor"/>
    <s v="Hannah"/>
    <n v="10"/>
    <n v="142"/>
    <x v="1"/>
    <n v="1420"/>
    <n v="1188.2742089999999"/>
    <n v="231.72579099999999"/>
    <n v="0.16318717676056338"/>
  </r>
  <r>
    <x v="352"/>
    <s v="West"/>
    <s v="Smartwatch"/>
    <s v="Alice"/>
    <n v="15"/>
    <n v="1709"/>
    <x v="0"/>
    <n v="25635"/>
    <n v="20859.148379999999"/>
    <n v="4775.8516209999998"/>
    <n v="0.18630199418763407"/>
  </r>
  <r>
    <x v="210"/>
    <s v="South"/>
    <s v="Tablet"/>
    <s v="Eva"/>
    <n v="6"/>
    <n v="961"/>
    <x v="2"/>
    <n v="5766"/>
    <n v="3866.3422449999998"/>
    <n v="1899.657755"/>
    <n v="0.32945850763093998"/>
  </r>
  <r>
    <x v="192"/>
    <s v="East"/>
    <s v="Monitor"/>
    <s v="Hannah"/>
    <n v="5"/>
    <n v="1401"/>
    <x v="1"/>
    <n v="7005"/>
    <n v="5535.1476320000002"/>
    <n v="1469.8523680000001"/>
    <n v="0.20982903183440402"/>
  </r>
  <r>
    <x v="219"/>
    <s v="West"/>
    <s v="Camera"/>
    <s v="Alice"/>
    <n v="2"/>
    <n v="1961"/>
    <x v="2"/>
    <n v="3922"/>
    <n v="3110.0761809999999"/>
    <n v="811.92381890000001"/>
    <n v="0.20701780186129526"/>
  </r>
  <r>
    <x v="343"/>
    <s v="West"/>
    <s v="Headphones"/>
    <s v="Frank"/>
    <n v="15"/>
    <n v="1877"/>
    <x v="0"/>
    <n v="28155"/>
    <n v="20329.216380000002"/>
    <n v="7825.7836180000004"/>
    <n v="0.27795360035517669"/>
  </r>
  <r>
    <x v="130"/>
    <s v="North"/>
    <s v="Mobile"/>
    <s v="Bob"/>
    <n v="16"/>
    <n v="1253"/>
    <x v="2"/>
    <n v="20048"/>
    <n v="14993.992190000001"/>
    <n v="5054.007807"/>
    <n v="0.25209536148244216"/>
  </r>
  <r>
    <x v="353"/>
    <s v="South"/>
    <s v="Camera"/>
    <s v="Grace"/>
    <n v="19"/>
    <n v="449"/>
    <x v="2"/>
    <n v="8531"/>
    <n v="6894.8271100000002"/>
    <n v="1636.1728900000001"/>
    <n v="0.19179145352244756"/>
  </r>
  <r>
    <x v="260"/>
    <s v="West"/>
    <s v="Laptop"/>
    <s v="Eva"/>
    <n v="9"/>
    <n v="1829"/>
    <x v="2"/>
    <n v="16461"/>
    <n v="14578.363009999999"/>
    <n v="1882.636986"/>
    <n v="0.11436953927464917"/>
  </r>
  <r>
    <x v="158"/>
    <s v="East"/>
    <s v="Smartwatch"/>
    <s v="Frank"/>
    <n v="19"/>
    <n v="1667"/>
    <x v="0"/>
    <n v="31673"/>
    <n v="21809.770059999999"/>
    <n v="9863.2299380000004"/>
    <n v="0.31140813746724338"/>
  </r>
  <r>
    <x v="95"/>
    <s v="South"/>
    <s v="Headphones"/>
    <s v="Hannah"/>
    <n v="7"/>
    <n v="1229"/>
    <x v="0"/>
    <n v="8603"/>
    <n v="5797.6386590000002"/>
    <n v="2805.3613409999998"/>
    <n v="0.32609105439962799"/>
  </r>
  <r>
    <x v="73"/>
    <s v="East"/>
    <s v="Laptop"/>
    <s v="Eva"/>
    <n v="4"/>
    <n v="1011"/>
    <x v="2"/>
    <n v="4044"/>
    <n v="3156.5121220000001"/>
    <n v="887.48787830000003"/>
    <n v="0.21945793231948565"/>
  </r>
  <r>
    <x v="15"/>
    <s v="West"/>
    <s v="Laptop"/>
    <s v="Frank"/>
    <n v="3"/>
    <n v="1839"/>
    <x v="2"/>
    <n v="5517"/>
    <n v="3526.6856090000001"/>
    <n v="1990.3143909999999"/>
    <n v="0.36076026663041505"/>
  </r>
  <r>
    <x v="220"/>
    <s v="East"/>
    <s v="Smartwatch"/>
    <s v="Alice"/>
    <n v="11"/>
    <n v="100"/>
    <x v="0"/>
    <n v="1100"/>
    <n v="852.23583410000003"/>
    <n v="247.76416589999999"/>
    <n v="0.2252401508181818"/>
  </r>
  <r>
    <x v="69"/>
    <s v="North"/>
    <s v="Headphones"/>
    <s v="David"/>
    <n v="1"/>
    <n v="1880"/>
    <x v="0"/>
    <n v="1880"/>
    <n v="1178.1122379999999"/>
    <n v="701.88776240000004"/>
    <n v="0.37334455446808512"/>
  </r>
  <r>
    <x v="7"/>
    <s v="East"/>
    <s v="Printer"/>
    <s v="Bob"/>
    <n v="6"/>
    <n v="683"/>
    <x v="1"/>
    <n v="4098"/>
    <n v="3061.9238220000002"/>
    <n v="1036.076178"/>
    <n v="0.25282483601756955"/>
  </r>
  <r>
    <x v="197"/>
    <s v="South"/>
    <s v="Laptop"/>
    <s v="Charlie"/>
    <n v="11"/>
    <n v="531"/>
    <x v="2"/>
    <n v="5841"/>
    <n v="4591.752109"/>
    <n v="1249.247891"/>
    <n v="0.21387568755350111"/>
  </r>
  <r>
    <x v="354"/>
    <s v="Easst"/>
    <s v="Laptop"/>
    <s v="Charlie"/>
    <n v="1"/>
    <n v="1429"/>
    <x v="2"/>
    <n v="1429"/>
    <n v="887.45600239999999"/>
    <n v="541.54399760000001"/>
    <n v="0.37896710818754376"/>
  </r>
  <r>
    <x v="147"/>
    <s v="East"/>
    <s v="Headphones"/>
    <s v="Alice"/>
    <n v="7"/>
    <n v="1650"/>
    <x v="0"/>
    <n v="11550"/>
    <n v="7647.0926719999998"/>
    <n v="3902.9073279999998"/>
    <n v="0.33791405437229433"/>
  </r>
  <r>
    <x v="59"/>
    <s v="North"/>
    <s v="Tablet"/>
    <s v="Hannah"/>
    <n v="6"/>
    <n v="152"/>
    <x v="2"/>
    <n v="912"/>
    <n v="638.95840429999998"/>
    <n v="273.04159570000002"/>
    <n v="0.29938771458333335"/>
  </r>
  <r>
    <x v="325"/>
    <s v="East"/>
    <s v="Laptop"/>
    <s v="Bob"/>
    <n v="14"/>
    <n v="1039"/>
    <x v="2"/>
    <n v="14546"/>
    <n v="10336.090990000001"/>
    <n v="4209.9090139999998"/>
    <n v="0.28942039144782067"/>
  </r>
  <r>
    <x v="355"/>
    <s v="East"/>
    <s v="Mobile"/>
    <s v="Hannah"/>
    <n v="2"/>
    <n v="619"/>
    <x v="2"/>
    <n v="1238"/>
    <n v="993.90526450000004"/>
    <n v="244.09473550000001"/>
    <n v="0.19716860702746367"/>
  </r>
  <r>
    <x v="37"/>
    <s v="West"/>
    <s v="Headphones"/>
    <s v="Bob"/>
    <n v="4"/>
    <n v="1453"/>
    <x v="0"/>
    <n v="5812"/>
    <n v="4409.6016090000003"/>
    <n v="1402.3983909999999"/>
    <n v="0.24129359790089469"/>
  </r>
  <r>
    <x v="200"/>
    <s v="West"/>
    <s v="Unknown"/>
    <s v="Alice"/>
    <n v="11"/>
    <n v="1681"/>
    <x v="2"/>
    <n v="18491"/>
    <n v="13214.27032"/>
    <n v="5276.7296829999996"/>
    <n v="0.28536745892596393"/>
  </r>
  <r>
    <x v="288"/>
    <s v="South"/>
    <s v="Smartwatch"/>
    <s v="Bob"/>
    <n v="15"/>
    <n v="1448"/>
    <x v="0"/>
    <n v="21720"/>
    <n v="15968.606470000001"/>
    <n v="5751.3935270000002"/>
    <n v="0.26479712371086556"/>
  </r>
  <r>
    <x v="308"/>
    <s v="West"/>
    <s v="Camera"/>
    <s v="David"/>
    <n v="18"/>
    <n v="1237"/>
    <x v="2"/>
    <n v="22266"/>
    <n v="13446.281559999999"/>
    <n v="8819.7184350000007"/>
    <n v="0.39610699878738886"/>
  </r>
  <r>
    <x v="120"/>
    <s v="West"/>
    <s v="Mobile"/>
    <s v="Hannah"/>
    <n v="1"/>
    <n v="246"/>
    <x v="2"/>
    <n v="246"/>
    <n v="204.46476559999999"/>
    <n v="41.535234389999999"/>
    <n v="0.16884241621951218"/>
  </r>
  <r>
    <x v="296"/>
    <s v="West"/>
    <s v="Monitor"/>
    <s v="Alice"/>
    <n v="3"/>
    <n v="1289"/>
    <x v="1"/>
    <n v="3867"/>
    <n v="2367.7695389999999"/>
    <n v="1499.2304610000001"/>
    <n v="0.38769859348332042"/>
  </r>
  <r>
    <x v="169"/>
    <s v="West"/>
    <s v="Monitor"/>
    <s v="David"/>
    <n v="3"/>
    <n v="1502"/>
    <x v="1"/>
    <n v="4506"/>
    <n v="3824.6713869999999"/>
    <n v="681.32861309999998"/>
    <n v="0.15120475213049267"/>
  </r>
  <r>
    <x v="70"/>
    <s v="North"/>
    <s v="Camera"/>
    <s v="Bob"/>
    <n v="0"/>
    <n v="1262"/>
    <x v="2"/>
    <n v="0"/>
    <n v="0"/>
    <n v="0"/>
    <n v="0"/>
  </r>
  <r>
    <x v="340"/>
    <s v="West"/>
    <s v="Unknown"/>
    <s v="Alice"/>
    <n v="1"/>
    <n v="728"/>
    <x v="1"/>
    <n v="728"/>
    <n v="552.07571140000005"/>
    <n v="175.92428860000001"/>
    <n v="0.24165424258241761"/>
  </r>
  <r>
    <x v="270"/>
    <s v="North"/>
    <s v="Camera"/>
    <s v="Bob"/>
    <n v="11"/>
    <n v="398"/>
    <x v="2"/>
    <n v="4378"/>
    <n v="3552.1935699999999"/>
    <n v="825.80643029999999"/>
    <n v="0.18862641167199634"/>
  </r>
  <r>
    <x v="146"/>
    <s v="North"/>
    <s v="Laptop"/>
    <s v="Hannah"/>
    <n v="6"/>
    <n v="1399"/>
    <x v="2"/>
    <n v="8394"/>
    <n v="7200.9428150000003"/>
    <n v="1193.0571849999999"/>
    <n v="0.14213214021920417"/>
  </r>
  <r>
    <x v="124"/>
    <s v="West"/>
    <s v="Mobile"/>
    <s v="Alice"/>
    <n v="3"/>
    <n v="888"/>
    <x v="2"/>
    <n v="2664"/>
    <n v="2351.7628"/>
    <n v="312.23719970000002"/>
    <n v="0.11720615604354355"/>
  </r>
  <r>
    <x v="336"/>
    <s v="East"/>
    <s v="Mobile"/>
    <s v="Bob"/>
    <n v="19"/>
    <n v="949"/>
    <x v="2"/>
    <n v="18031"/>
    <n v="13757.85073"/>
    <n v="4273.1492689999995"/>
    <n v="0.236989033830625"/>
  </r>
  <r>
    <x v="356"/>
    <s v="North"/>
    <s v="Tablet"/>
    <s v="Hannah"/>
    <n v="2"/>
    <n v="1948"/>
    <x v="2"/>
    <n v="3896"/>
    <n v="2513.6893420000001"/>
    <n v="1382.3106580000001"/>
    <n v="0.35480253028747438"/>
  </r>
  <r>
    <x v="103"/>
    <s v="East"/>
    <s v="Camera"/>
    <s v="David"/>
    <n v="18"/>
    <n v="277"/>
    <x v="2"/>
    <n v="4986"/>
    <n v="4305.8561390000004"/>
    <n v="680.14386060000004"/>
    <n v="0.13641072214199759"/>
  </r>
  <r>
    <x v="59"/>
    <s v="East"/>
    <s v="Mobile"/>
    <s v="Grace"/>
    <n v="12"/>
    <n v="941"/>
    <x v="2"/>
    <n v="11292"/>
    <n v="6912.9805290000004"/>
    <n v="4379.0194709999996"/>
    <n v="0.3877983945270988"/>
  </r>
  <r>
    <x v="158"/>
    <s v="West"/>
    <s v="Tablet"/>
    <s v="David"/>
    <n v="10"/>
    <n v="1477"/>
    <x v="2"/>
    <n v="14770"/>
    <n v="12439.311"/>
    <n v="2330.6889970000002"/>
    <n v="0.1577988488151659"/>
  </r>
  <r>
    <x v="34"/>
    <s v="South"/>
    <s v="Headphones"/>
    <s v="Bob"/>
    <n v="5"/>
    <n v="1277"/>
    <x v="0"/>
    <n v="6385"/>
    <n v="5134.3476250000003"/>
    <n v="1250.6523749999999"/>
    <n v="0.195873512137823"/>
  </r>
  <r>
    <x v="320"/>
    <s v="West"/>
    <s v="Tablet"/>
    <s v="Alice"/>
    <n v="9"/>
    <n v="1324"/>
    <x v="2"/>
    <n v="11916"/>
    <n v="10383.820250000001"/>
    <n v="1532.1797489999999"/>
    <n v="0.12858171777442093"/>
  </r>
  <r>
    <x v="143"/>
    <s v="South"/>
    <s v="Smartwatch"/>
    <s v="Charlie"/>
    <n v="2"/>
    <n v="977"/>
    <x v="0"/>
    <n v="1954"/>
    <n v="1698.4928990000001"/>
    <n v="255.50710129999999"/>
    <n v="0.13076105491299897"/>
  </r>
  <r>
    <x v="215"/>
    <s v="South"/>
    <s v="Printer"/>
    <s v="David"/>
    <n v="2"/>
    <n v="1238"/>
    <x v="1"/>
    <n v="2476"/>
    <n v="1525.0828550000001"/>
    <n v="950.91714530000002"/>
    <n v="0.38405377435379645"/>
  </r>
  <r>
    <x v="246"/>
    <s v="West"/>
    <s v="Laptop"/>
    <s v="David"/>
    <n v="6"/>
    <n v="1794"/>
    <x v="2"/>
    <n v="10764"/>
    <n v="8426.4243380000007"/>
    <n v="2337.5756620000002"/>
    <n v="0.2171660778520996"/>
  </r>
  <r>
    <x v="294"/>
    <s v="West"/>
    <s v="Headphones"/>
    <s v="Hannah"/>
    <n v="10"/>
    <n v="1677"/>
    <x v="0"/>
    <n v="16770"/>
    <n v="10689.222089999999"/>
    <n v="6080.7779090000004"/>
    <n v="0.36259856344663088"/>
  </r>
  <r>
    <x v="89"/>
    <s v="South"/>
    <s v="Printer"/>
    <s v="Frank"/>
    <n v="18"/>
    <n v="858"/>
    <x v="1"/>
    <n v="15444"/>
    <n v="9629.9607720000004"/>
    <n v="5814.0392279999996"/>
    <n v="0.37645941647241643"/>
  </r>
  <r>
    <x v="242"/>
    <s v="East"/>
    <s v="Smartwatch"/>
    <s v="Grace"/>
    <n v="17"/>
    <n v="544"/>
    <x v="0"/>
    <n v="9248"/>
    <n v="7568.2923719999999"/>
    <n v="1679.7076280000001"/>
    <n v="0.1816292850346021"/>
  </r>
  <r>
    <x v="165"/>
    <s v="West"/>
    <s v="Tablet"/>
    <s v="Alice"/>
    <n v="15"/>
    <n v="1449"/>
    <x v="2"/>
    <n v="21735"/>
    <n v="19358.977900000002"/>
    <n v="2376.022097"/>
    <n v="0.10931778684149988"/>
  </r>
  <r>
    <x v="103"/>
    <s v="East"/>
    <s v="Laptop"/>
    <s v="Frank"/>
    <n v="6"/>
    <n v="1969"/>
    <x v="2"/>
    <n v="11814"/>
    <n v="9107.1159189999998"/>
    <n v="2706.8840810000002"/>
    <n v="0.22912511266294228"/>
  </r>
  <r>
    <x v="35"/>
    <s v="North"/>
    <s v="Tablet"/>
    <s v="Bob"/>
    <n v="16"/>
    <n v="807"/>
    <x v="2"/>
    <n v="12912"/>
    <n v="8658.1501329999992"/>
    <n v="4253.8498669999999"/>
    <n v="0.32944933914188351"/>
  </r>
  <r>
    <x v="264"/>
    <s v="East"/>
    <s v="Mobile"/>
    <s v="Eva"/>
    <n v="17"/>
    <n v="701"/>
    <x v="2"/>
    <n v="11917"/>
    <n v="10164.747170000001"/>
    <n v="1752.2528299999999"/>
    <n v="0.14703808257111689"/>
  </r>
  <r>
    <x v="191"/>
    <s v="East"/>
    <s v="Tablet"/>
    <s v="Grace"/>
    <n v="3"/>
    <n v="1746"/>
    <x v="2"/>
    <n v="5238"/>
    <n v="4483.3666430000003"/>
    <n v="754.63335659999996"/>
    <n v="0.14406898751431843"/>
  </r>
  <r>
    <x v="93"/>
    <s v="South"/>
    <s v="Monitor"/>
    <s v="David"/>
    <n v="10"/>
    <n v="1482"/>
    <x v="1"/>
    <n v="14820"/>
    <n v="12149.96643"/>
    <n v="2670.0335669999999"/>
    <n v="0.18016420829959515"/>
  </r>
  <r>
    <x v="248"/>
    <s v="East"/>
    <s v="Headphones"/>
    <s v="Eva"/>
    <n v="5"/>
    <n v="244"/>
    <x v="0"/>
    <n v="1220"/>
    <n v="957.13837960000001"/>
    <n v="262.86162039999999"/>
    <n v="0.21546034459016392"/>
  </r>
  <r>
    <x v="322"/>
    <s v="West"/>
    <s v="Laptop"/>
    <s v="David"/>
    <n v="14"/>
    <n v="374"/>
    <x v="2"/>
    <n v="5236"/>
    <n v="4504.7283880000005"/>
    <n v="731.27161209999997"/>
    <n v="0.139662263579068"/>
  </r>
  <r>
    <x v="93"/>
    <s v="South"/>
    <s v="Tablet"/>
    <s v="David"/>
    <n v="13"/>
    <n v="608"/>
    <x v="2"/>
    <n v="7904"/>
    <n v="5129.5972359999996"/>
    <n v="2774.4027639999999"/>
    <n v="0.35101249544534413"/>
  </r>
  <r>
    <x v="70"/>
    <s v="North"/>
    <s v="Laptop"/>
    <s v="Eva"/>
    <n v="6"/>
    <n v="1302"/>
    <x v="2"/>
    <n v="7812"/>
    <n v="6870.4980560000004"/>
    <n v="941.50194390000001"/>
    <n v="0.12051996209677419"/>
  </r>
  <r>
    <x v="196"/>
    <s v="West"/>
    <s v="Laptop"/>
    <s v="Grace"/>
    <n v="12"/>
    <n v="852"/>
    <x v="2"/>
    <n v="10224"/>
    <n v="9039.6614989999998"/>
    <n v="1184.338501"/>
    <n v="0.11583905526212832"/>
  </r>
  <r>
    <x v="84"/>
    <s v="North"/>
    <s v="Mobile"/>
    <s v="Hannah"/>
    <n v="8"/>
    <n v="1961"/>
    <x v="2"/>
    <n v="15688"/>
    <n v="13516.744909999999"/>
    <n v="2171.255091"/>
    <n v="0.13840228779959204"/>
  </r>
  <r>
    <x v="76"/>
    <s v="East"/>
    <s v="Mobile"/>
    <s v="Eva"/>
    <n v="5"/>
    <n v="1954"/>
    <x v="2"/>
    <n v="9770"/>
    <n v="6596.6904240000003"/>
    <n v="3173.3095760000001"/>
    <n v="0.3248013895598772"/>
  </r>
  <r>
    <x v="321"/>
    <s v="West"/>
    <s v="Headphones"/>
    <s v="Bob"/>
    <n v="15"/>
    <n v="576"/>
    <x v="0"/>
    <n v="8640"/>
    <n v="7408.3983770000004"/>
    <n v="1231.601623"/>
    <n v="0.14254648414351853"/>
  </r>
  <r>
    <x v="180"/>
    <s v="West"/>
    <s v="Smartwatch"/>
    <s v="Frank"/>
    <n v="16"/>
    <n v="1966"/>
    <x v="0"/>
    <n v="31456"/>
    <n v="23569.71228"/>
    <n v="7886.2877230000004"/>
    <n v="0.25070853646363173"/>
  </r>
  <r>
    <x v="112"/>
    <s v="North"/>
    <s v="Monitor"/>
    <s v="Frank"/>
    <n v="1"/>
    <n v="1537"/>
    <x v="1"/>
    <n v="1537"/>
    <n v="1196.522332"/>
    <n v="340.4776675"/>
    <n v="0.22152092875731946"/>
  </r>
  <r>
    <x v="277"/>
    <s v="West"/>
    <s v="Unknown"/>
    <s v="Eva"/>
    <n v="16"/>
    <n v="1276"/>
    <x v="1"/>
    <n v="20416"/>
    <n v="17398.110690000001"/>
    <n v="3017.8893069999999"/>
    <n v="0.14781981323471785"/>
  </r>
  <r>
    <x v="168"/>
    <s v="West"/>
    <s v="Laptop"/>
    <s v="Bob"/>
    <n v="5"/>
    <n v="1227"/>
    <x v="2"/>
    <n v="6135"/>
    <n v="3735.4472249999999"/>
    <n v="2399.5527750000001"/>
    <n v="0.39112514669926651"/>
  </r>
  <r>
    <x v="335"/>
    <s v="West"/>
    <s v="Smartwatch"/>
    <s v="unknown"/>
    <n v="3"/>
    <n v="1198"/>
    <x v="0"/>
    <n v="3594"/>
    <n v="2547.7247029999999"/>
    <n v="1046.2752969999999"/>
    <n v="0.29111722231496939"/>
  </r>
  <r>
    <x v="13"/>
    <s v="East"/>
    <s v="Printer"/>
    <s v="Frank"/>
    <n v="15"/>
    <n v="1251"/>
    <x v="1"/>
    <n v="18765"/>
    <n v="15850.94587"/>
    <n v="2914.0541330000001"/>
    <n v="0.15529198683719692"/>
  </r>
  <r>
    <x v="298"/>
    <s v="North"/>
    <s v="Printer"/>
    <s v="Bob"/>
    <n v="13"/>
    <n v="1834"/>
    <x v="1"/>
    <n v="23842"/>
    <n v="20127.092990000001"/>
    <n v="3714.907013"/>
    <n v="0.15581356484355338"/>
  </r>
  <r>
    <x v="101"/>
    <s v="Unknown"/>
    <s v="Headphones"/>
    <s v="Bob"/>
    <n v="11"/>
    <n v="667"/>
    <x v="0"/>
    <n v="7337"/>
    <n v="4774.661118"/>
    <n v="2562.338882"/>
    <n v="0.34923522993048928"/>
  </r>
  <r>
    <x v="357"/>
    <s v="South"/>
    <s v="Printer"/>
    <s v="David"/>
    <n v="2"/>
    <n v="1913"/>
    <x v="1"/>
    <n v="3826"/>
    <n v="3105.81666"/>
    <n v="720.18333959999995"/>
    <n v="0.18823401453214844"/>
  </r>
  <r>
    <x v="225"/>
    <s v="South"/>
    <s v="Monitor"/>
    <s v="Frank"/>
    <n v="6"/>
    <n v="1468"/>
    <x v="1"/>
    <n v="8808"/>
    <n v="5671.920427"/>
    <n v="3136.079573"/>
    <n v="0.35604899784287014"/>
  </r>
  <r>
    <x v="263"/>
    <s v="South"/>
    <s v="Printer"/>
    <s v="Hannah"/>
    <n v="6"/>
    <n v="630"/>
    <x v="1"/>
    <n v="3780"/>
    <n v="3158.3011419999998"/>
    <n v="621.69885780000004"/>
    <n v="0.16447059730158731"/>
  </r>
  <r>
    <x v="239"/>
    <s v="East"/>
    <s v="Laptop"/>
    <s v="Frank"/>
    <n v="14"/>
    <n v="258"/>
    <x v="2"/>
    <n v="3612"/>
    <n v="2432.818538"/>
    <n v="1179.181462"/>
    <n v="0.3264621987818383"/>
  </r>
  <r>
    <x v="104"/>
    <s v="West"/>
    <s v="Laptop"/>
    <s v="David"/>
    <n v="11"/>
    <n v="1661"/>
    <x v="2"/>
    <n v="18271"/>
    <n v="15006.800310000001"/>
    <n v="3264.1996899999999"/>
    <n v="0.17865468173608451"/>
  </r>
  <r>
    <x v="62"/>
    <s v="North"/>
    <s v="Camera"/>
    <s v="Eva"/>
    <n v="8"/>
    <n v="1549"/>
    <x v="2"/>
    <n v="12392"/>
    <n v="9126.7140170000002"/>
    <n v="3265.2859830000002"/>
    <n v="0.26349951444480313"/>
  </r>
  <r>
    <x v="229"/>
    <s v="West"/>
    <s v="Smartwatch"/>
    <s v="David"/>
    <n v="8"/>
    <n v="780"/>
    <x v="0"/>
    <n v="6240"/>
    <n v="5590.2852059999996"/>
    <n v="649.71479439999996"/>
    <n v="0.10412096064102563"/>
  </r>
  <r>
    <x v="196"/>
    <s v="East"/>
    <s v="Tablet"/>
    <s v="Frank"/>
    <n v="1"/>
    <n v="122"/>
    <x v="2"/>
    <n v="122"/>
    <n v="94.424114209999999"/>
    <n v="27.575885790000001"/>
    <n v="0.22603185073770493"/>
  </r>
  <r>
    <x v="261"/>
    <s v="South"/>
    <s v="Monitor"/>
    <s v="Frank"/>
    <n v="7"/>
    <n v="1170"/>
    <x v="1"/>
    <n v="8190"/>
    <n v="6468.2474979999997"/>
    <n v="1721.752502"/>
    <n v="0.21022619072039073"/>
  </r>
  <r>
    <x v="278"/>
    <s v="East"/>
    <s v="Mobile"/>
    <s v="Grace"/>
    <n v="6"/>
    <n v="624"/>
    <x v="2"/>
    <n v="3744"/>
    <n v="2659.9212590000002"/>
    <n v="1084.078741"/>
    <n v="0.28955094577991453"/>
  </r>
  <r>
    <x v="234"/>
    <s v="West"/>
    <s v="Monitor"/>
    <s v="Hannah"/>
    <n v="8"/>
    <n v="828"/>
    <x v="1"/>
    <n v="6624"/>
    <n v="5434.038458"/>
    <n v="1189.961542"/>
    <n v="0.17964395259661836"/>
  </r>
  <r>
    <x v="295"/>
    <s v="North"/>
    <s v="Tablet"/>
    <s v="Eva"/>
    <n v="19"/>
    <n v="1957"/>
    <x v="2"/>
    <n v="37183"/>
    <n v="27830.199840000001"/>
    <n v="9352.8001619999995"/>
    <n v="0.25153430766748242"/>
  </r>
  <r>
    <x v="263"/>
    <s v="East"/>
    <s v="Smartwatch"/>
    <s v="David"/>
    <n v="8"/>
    <n v="1829"/>
    <x v="0"/>
    <n v="14632"/>
    <n v="8858.5053009999992"/>
    <n v="5773.4946989999999"/>
    <n v="0.3945800094997266"/>
  </r>
  <r>
    <x v="140"/>
    <s v="North"/>
    <s v="Mobile"/>
    <s v="Hannah"/>
    <n v="14"/>
    <n v="243"/>
    <x v="2"/>
    <n v="3402"/>
    <n v="2662.3183789999998"/>
    <n v="739.6816212"/>
    <n v="0.21742552063492063"/>
  </r>
  <r>
    <x v="297"/>
    <s v="East"/>
    <s v="Tablet"/>
    <s v="Alice"/>
    <n v="18"/>
    <n v="1708"/>
    <x v="2"/>
    <n v="30744"/>
    <n v="26105.89489"/>
    <n v="4638.105106"/>
    <n v="0.15086212288576634"/>
  </r>
  <r>
    <x v="99"/>
    <s v="North"/>
    <s v="Camera"/>
    <s v="Hannah"/>
    <n v="16"/>
    <n v="767"/>
    <x v="2"/>
    <n v="12272"/>
    <n v="8235.0093969999998"/>
    <n v="4036.9906030000002"/>
    <n v="0.32895946895371581"/>
  </r>
  <r>
    <x v="276"/>
    <s v="North"/>
    <s v="Mobile"/>
    <s v="Alice"/>
    <n v="9"/>
    <n v="1712"/>
    <x v="2"/>
    <n v="15408"/>
    <n v="10266.6451"/>
    <n v="5141.3548979999996"/>
    <n v="0.33368087344236758"/>
  </r>
  <r>
    <x v="50"/>
    <s v="South"/>
    <s v="Laptop"/>
    <s v="Eva"/>
    <n v="15"/>
    <n v="1542"/>
    <x v="2"/>
    <n v="23130"/>
    <n v="18103.06122"/>
    <n v="5026.9387749999996"/>
    <n v="0.21733414504971896"/>
  </r>
  <r>
    <x v="296"/>
    <s v="North"/>
    <s v="Tablet"/>
    <s v="David"/>
    <n v="10"/>
    <n v="780"/>
    <x v="2"/>
    <n v="7800"/>
    <n v="6594.0715069999997"/>
    <n v="1205.9284929999999"/>
    <n v="0.15460621705128202"/>
  </r>
  <r>
    <x v="53"/>
    <s v="South"/>
    <s v="Monitor"/>
    <s v="David"/>
    <n v="16"/>
    <n v="1072"/>
    <x v="1"/>
    <n v="17152"/>
    <n v="11575.646409999999"/>
    <n v="5576.3535899999997"/>
    <n v="0.32511389867070895"/>
  </r>
  <r>
    <x v="8"/>
    <s v="West"/>
    <s v="Mobile"/>
    <s v="Bob"/>
    <n v="4"/>
    <n v="898"/>
    <x v="2"/>
    <n v="3592"/>
    <n v="3159.8062329999998"/>
    <n v="432.19376699999998"/>
    <n v="0.12032120462138084"/>
  </r>
  <r>
    <x v="139"/>
    <s v="West"/>
    <s v="Camera"/>
    <s v="Frank"/>
    <n v="13"/>
    <n v="184"/>
    <x v="2"/>
    <n v="2392"/>
    <n v="2100.6931669999999"/>
    <n v="291.3068328"/>
    <n v="0.12178379297658863"/>
  </r>
  <r>
    <x v="341"/>
    <s v="South"/>
    <s v="Monitor"/>
    <s v="Charlie"/>
    <n v="5"/>
    <n v="515"/>
    <x v="1"/>
    <n v="2575"/>
    <n v="1699.914579"/>
    <n v="875.085421"/>
    <n v="0.33983899844660193"/>
  </r>
  <r>
    <x v="277"/>
    <s v="South"/>
    <s v="Printer"/>
    <s v="Grace"/>
    <n v="7"/>
    <n v="793"/>
    <x v="1"/>
    <n v="5551"/>
    <n v="3769.880181"/>
    <n v="1781.119819"/>
    <n v="0.32086467645469285"/>
  </r>
  <r>
    <x v="42"/>
    <s v="East"/>
    <s v="Mobile"/>
    <s v="Hannah"/>
    <n v="9"/>
    <n v="581"/>
    <x v="2"/>
    <n v="5229"/>
    <n v="4236.4293550000002"/>
    <n v="992.57064530000002"/>
    <n v="0.1898203567221266"/>
  </r>
  <r>
    <x v="95"/>
    <s v="East"/>
    <s v="Mobile"/>
    <s v="Eva"/>
    <n v="8"/>
    <n v="555"/>
    <x v="2"/>
    <n v="4440"/>
    <n v="3931.7085010000001"/>
    <n v="508.2914988"/>
    <n v="0.1144800672972973"/>
  </r>
  <r>
    <x v="224"/>
    <s v="East"/>
    <s v="Camera"/>
    <s v="Charlie"/>
    <n v="16"/>
    <n v="926"/>
    <x v="2"/>
    <n v="14816"/>
    <n v="12044.88658"/>
    <n v="2771.113425"/>
    <n v="0.18703519337203023"/>
  </r>
  <r>
    <x v="28"/>
    <s v="West"/>
    <s v="Printer"/>
    <s v="Hannah"/>
    <n v="6"/>
    <n v="396"/>
    <x v="1"/>
    <n v="2376"/>
    <n v="1742.7247560000001"/>
    <n v="633.27524449999999"/>
    <n v="0.26652998505892256"/>
  </r>
  <r>
    <x v="191"/>
    <s v="East"/>
    <s v="Tablet"/>
    <s v="Charlie"/>
    <n v="16"/>
    <n v="1235"/>
    <x v="2"/>
    <n v="19760"/>
    <n v="12857.839980000001"/>
    <n v="6902.1600179999996"/>
    <n v="0.34929959605263156"/>
  </r>
  <r>
    <x v="216"/>
    <s v="North"/>
    <s v="Headphones"/>
    <s v="Eva"/>
    <n v="6"/>
    <n v="1353"/>
    <x v="0"/>
    <n v="8118"/>
    <n v="5993.5433860000003"/>
    <n v="2124.4566140000002"/>
    <n v="0.2616970453313624"/>
  </r>
  <r>
    <x v="233"/>
    <s v="North"/>
    <s v="Tablet"/>
    <s v="David"/>
    <n v="14"/>
    <n v="1219"/>
    <x v="2"/>
    <n v="17066"/>
    <n v="13346.12974"/>
    <n v="3719.8702589999998"/>
    <n v="0.21796966242821983"/>
  </r>
  <r>
    <x v="209"/>
    <s v="East"/>
    <s v="Printer"/>
    <s v="Eva"/>
    <n v="1"/>
    <n v="1049"/>
    <x v="1"/>
    <n v="1049"/>
    <n v="733.55056890000003"/>
    <n v="315.44943110000003"/>
    <n v="0.30071442430886564"/>
  </r>
  <r>
    <x v="348"/>
    <s v="North"/>
    <s v="Smartwatch"/>
    <s v="Hannah"/>
    <n v="9"/>
    <n v="779"/>
    <x v="0"/>
    <n v="7011"/>
    <n v="5279.8252750000001"/>
    <n v="1731.1747250000001"/>
    <n v="0.2469226536870632"/>
  </r>
  <r>
    <x v="257"/>
    <s v="West"/>
    <s v="Monitor"/>
    <s v="Charlie"/>
    <n v="13"/>
    <n v="477"/>
    <x v="1"/>
    <n v="6201"/>
    <n v="3962.8373430000001"/>
    <n v="2238.1626569999999"/>
    <n v="0.36093576149008222"/>
  </r>
  <r>
    <x v="166"/>
    <s v="North"/>
    <s v="Camera"/>
    <s v="Frank"/>
    <n v="19"/>
    <n v="1279"/>
    <x v="2"/>
    <n v="24301"/>
    <n v="17877.18694"/>
    <n v="6423.8130620000002"/>
    <n v="0.26434356865972597"/>
  </r>
  <r>
    <x v="308"/>
    <s v="West"/>
    <s v="Tablet"/>
    <s v="Grace"/>
    <n v="17"/>
    <n v="520"/>
    <x v="2"/>
    <n v="8840"/>
    <n v="5544.7374719999998"/>
    <n v="3295.2625280000002"/>
    <n v="0.37276725429864255"/>
  </r>
  <r>
    <x v="126"/>
    <s v="South"/>
    <s v="Mobile"/>
    <s v="Grace"/>
    <n v="11"/>
    <n v="204"/>
    <x v="2"/>
    <n v="2244"/>
    <n v="1379.4465459999999"/>
    <n v="864.55345350000005"/>
    <n v="0.38527337500000003"/>
  </r>
  <r>
    <x v="255"/>
    <s v="South"/>
    <s v="Camera"/>
    <s v="Frank"/>
    <n v="8"/>
    <n v="1828"/>
    <x v="2"/>
    <n v="14624"/>
    <n v="12535.28296"/>
    <n v="2088.7170420000002"/>
    <n v="0.14282802530087529"/>
  </r>
  <r>
    <x v="65"/>
    <s v="South"/>
    <s v="Laptop"/>
    <s v="Frank"/>
    <n v="5"/>
    <n v="429"/>
    <x v="2"/>
    <n v="2145"/>
    <n v="1418.9699989999999"/>
    <n v="726.03000059999999"/>
    <n v="0.33847552475524473"/>
  </r>
  <r>
    <x v="314"/>
    <s v="South"/>
    <s v="Printer"/>
    <s v="David"/>
    <n v="10"/>
    <n v="538"/>
    <x v="1"/>
    <n v="5380"/>
    <n v="4156.3007010000001"/>
    <n v="1223.6992990000001"/>
    <n v="0.22745340130111527"/>
  </r>
  <r>
    <x v="240"/>
    <s v="North"/>
    <s v="Monitor"/>
    <s v="Hannah"/>
    <n v="7"/>
    <n v="1255"/>
    <x v="1"/>
    <n v="8785"/>
    <n v="5663.6440599999996"/>
    <n v="3121.3559399999999"/>
    <n v="0.35530517245304494"/>
  </r>
  <r>
    <x v="285"/>
    <s v="East"/>
    <s v="Tablet"/>
    <s v="Alice"/>
    <n v="10"/>
    <n v="1990"/>
    <x v="2"/>
    <n v="19900"/>
    <n v="13507.2896"/>
    <n v="6392.7104019999997"/>
    <n v="0.32124172874371859"/>
  </r>
  <r>
    <x v="329"/>
    <s v="North"/>
    <s v="Camera"/>
    <s v="Eva"/>
    <n v="4"/>
    <n v="481"/>
    <x v="2"/>
    <n v="1924"/>
    <n v="1362.965113"/>
    <n v="561.03488689999995"/>
    <n v="0.29159817406444904"/>
  </r>
  <r>
    <x v="187"/>
    <s v="West"/>
    <s v="Monitor"/>
    <s v="Grace"/>
    <n v="9"/>
    <n v="237"/>
    <x v="1"/>
    <n v="2133"/>
    <n v="1371.738552"/>
    <n v="761.26144839999995"/>
    <n v="0.35689706910454755"/>
  </r>
  <r>
    <x v="94"/>
    <s v="North"/>
    <s v="Tablet"/>
    <s v="Frank"/>
    <n v="14"/>
    <n v="1042"/>
    <x v="2"/>
    <n v="14588"/>
    <n v="8953.9493970000003"/>
    <n v="5634.0506029999997"/>
    <n v="0.38621131087194954"/>
  </r>
  <r>
    <x v="144"/>
    <s v="North"/>
    <s v="Camera"/>
    <s v="Eva"/>
    <n v="2"/>
    <n v="942"/>
    <x v="2"/>
    <n v="1884"/>
    <n v="1626.1707200000001"/>
    <n v="257.82927990000002"/>
    <n v="0.13685205939490447"/>
  </r>
  <r>
    <x v="8"/>
    <s v="West"/>
    <s v="Mobile"/>
    <s v="Grace"/>
    <n v="9"/>
    <n v="369"/>
    <x v="2"/>
    <n v="3321"/>
    <n v="2004.389054"/>
    <n v="1316.610946"/>
    <n v="0.39645014935260464"/>
  </r>
  <r>
    <x v="304"/>
    <s v="South"/>
    <s v="Laptop"/>
    <s v="Frank"/>
    <n v="1"/>
    <n v="1673"/>
    <x v="2"/>
    <n v="1673"/>
    <n v="1034.5770010000001"/>
    <n v="638.42299869999999"/>
    <n v="0.38160370514046621"/>
  </r>
  <r>
    <x v="206"/>
    <s v="South"/>
    <s v="Laptop"/>
    <s v="Hannah"/>
    <n v="10"/>
    <n v="495"/>
    <x v="2"/>
    <n v="4950"/>
    <n v="4165.5321590000003"/>
    <n v="784.46784119999995"/>
    <n v="0.15847835175757574"/>
  </r>
  <r>
    <x v="0"/>
    <s v="South"/>
    <s v="Smartwatch"/>
    <s v="Grace"/>
    <n v="10"/>
    <n v="1680"/>
    <x v="0"/>
    <n v="16800"/>
    <n v="11501.32202"/>
    <n v="5298.6779829999996"/>
    <n v="0.31539749898809522"/>
  </r>
  <r>
    <x v="213"/>
    <s v="East"/>
    <s v="Camera"/>
    <s v="David"/>
    <n v="3"/>
    <n v="1012"/>
    <x v="2"/>
    <n v="3036"/>
    <n v="2479.9447300000002"/>
    <n v="556.05526970000005"/>
    <n v="0.1831539096508564"/>
  </r>
  <r>
    <x v="44"/>
    <s v="West"/>
    <s v="Tablet"/>
    <s v="Alice"/>
    <n v="6"/>
    <n v="563"/>
    <x v="2"/>
    <n v="3378"/>
    <n v="2174.9851739999999"/>
    <n v="1203.0148260000001"/>
    <n v="0.35613227531083486"/>
  </r>
  <r>
    <x v="338"/>
    <s v="West"/>
    <s v="Laptop"/>
    <s v="Alice"/>
    <n v="6"/>
    <n v="1798"/>
    <x v="2"/>
    <n v="10788"/>
    <n v="7240.7386509999997"/>
    <n v="3547.2613489999999"/>
    <n v="0.32881547543566925"/>
  </r>
  <r>
    <x v="143"/>
    <s v="North"/>
    <s v="Printer"/>
    <s v="Frank"/>
    <n v="2"/>
    <n v="549"/>
    <x v="1"/>
    <n v="1098"/>
    <n v="847.4725846"/>
    <n v="250.5274154"/>
    <n v="0.22816704499089252"/>
  </r>
  <r>
    <x v="131"/>
    <s v="East"/>
    <s v="Laptop"/>
    <s v="Grace"/>
    <n v="18"/>
    <n v="1454"/>
    <x v="2"/>
    <n v="26172"/>
    <n v="23465.57315"/>
    <n v="2706.4268510000002"/>
    <n v="0.1034092484716491"/>
  </r>
  <r>
    <x v="30"/>
    <s v="South"/>
    <s v="Headphones"/>
    <s v="David"/>
    <n v="2"/>
    <n v="1376"/>
    <x v="0"/>
    <n v="2752"/>
    <n v="1711.8357550000001"/>
    <n v="1040.1642449999999"/>
    <n v="0.37796665879360464"/>
  </r>
  <r>
    <x v="80"/>
    <s v="East"/>
    <s v="Headphones"/>
    <s v="Bob"/>
    <n v="12"/>
    <n v="1804"/>
    <x v="0"/>
    <n v="21648"/>
    <n v="15590.16178"/>
    <n v="6057.8382190000002"/>
    <n v="0.27983362061160383"/>
  </r>
  <r>
    <x v="158"/>
    <s v="West"/>
    <s v="Laptop"/>
    <s v="Eva"/>
    <n v="5"/>
    <n v="1408"/>
    <x v="2"/>
    <n v="7040"/>
    <n v="4314.9870090000004"/>
    <n v="2725.0129910000001"/>
    <n v="0.38707570894886362"/>
  </r>
  <r>
    <x v="13"/>
    <s v="West"/>
    <s v="Camera"/>
    <s v="Eva"/>
    <n v="7"/>
    <n v="1397"/>
    <x v="2"/>
    <n v="9779"/>
    <n v="6451.8706149999998"/>
    <n v="3327.1293850000002"/>
    <n v="0.34023206718478372"/>
  </r>
  <r>
    <x v="100"/>
    <s v="North"/>
    <s v="Unknown"/>
    <s v="Charlie"/>
    <n v="16"/>
    <n v="119"/>
    <x v="0"/>
    <n v="1904"/>
    <n v="1660.747451"/>
    <n v="243.25254949999999"/>
    <n v="0.12775869196428571"/>
  </r>
  <r>
    <x v="119"/>
    <s v="North"/>
    <s v="Laptop"/>
    <s v="David"/>
    <n v="1"/>
    <n v="338"/>
    <x v="2"/>
    <n v="338"/>
    <n v="212.58105449999999"/>
    <n v="125.41894550000001"/>
    <n v="0.37106196893491128"/>
  </r>
  <r>
    <x v="272"/>
    <s v="West"/>
    <s v="Mobile"/>
    <s v="Grace"/>
    <n v="1"/>
    <n v="1393"/>
    <x v="2"/>
    <n v="1393"/>
    <n v="1193.8800900000001"/>
    <n v="199.1199105"/>
    <n v="0.14294322361809045"/>
  </r>
  <r>
    <x v="33"/>
    <s v="South"/>
    <s v="Monitor"/>
    <s v="Hannah"/>
    <n v="17"/>
    <n v="517"/>
    <x v="1"/>
    <n v="8789"/>
    <n v="5742.2137979999998"/>
    <n v="3046.7862019999998"/>
    <n v="0.34665902855842529"/>
  </r>
  <r>
    <x v="168"/>
    <s v="South"/>
    <s v="Tablet"/>
    <s v="Hannah"/>
    <n v="1"/>
    <n v="1433"/>
    <x v="2"/>
    <n v="1433"/>
    <n v="1230.2813060000001"/>
    <n v="202.7186945"/>
    <n v="0.14146454605722261"/>
  </r>
  <r>
    <x v="79"/>
    <s v="East"/>
    <s v="Smartwatch"/>
    <s v="Charlie"/>
    <n v="13"/>
    <n v="1154"/>
    <x v="0"/>
    <n v="15002"/>
    <n v="11422.621649999999"/>
    <n v="3579.3783530000001"/>
    <n v="0.23859341107852286"/>
  </r>
  <r>
    <x v="195"/>
    <s v="West"/>
    <s v="Mobile"/>
    <s v="Frank"/>
    <n v="9"/>
    <n v="1949"/>
    <x v="2"/>
    <n v="17541"/>
    <n v="15145.98698"/>
    <n v="2395.0130180000001"/>
    <n v="0.1365379977196283"/>
  </r>
  <r>
    <x v="1"/>
    <s v="West"/>
    <s v="Smartwatch"/>
    <s v="Grace"/>
    <n v="15"/>
    <n v="1227"/>
    <x v="0"/>
    <n v="18405"/>
    <n v="11880.631670000001"/>
    <n v="6524.3683259999998"/>
    <n v="0.35448890660146698"/>
  </r>
  <r>
    <x v="21"/>
    <s v="South"/>
    <s v="Tablet"/>
    <s v="Alice"/>
    <n v="14"/>
    <n v="285"/>
    <x v="2"/>
    <n v="3990"/>
    <n v="3208.7962200000002"/>
    <n v="781.20378049999999"/>
    <n v="0.19579042117794487"/>
  </r>
  <r>
    <x v="257"/>
    <s v="West"/>
    <s v="Tablet"/>
    <s v="Eva"/>
    <n v="11"/>
    <n v="1251"/>
    <x v="2"/>
    <n v="13761"/>
    <n v="10497.991900000001"/>
    <n v="3263.0080969999999"/>
    <n v="0.23711998379478236"/>
  </r>
  <r>
    <x v="131"/>
    <s v="North"/>
    <s v="Headphones"/>
    <s v="Grace"/>
    <n v="12"/>
    <n v="1333"/>
    <x v="0"/>
    <n v="15996"/>
    <n v="13487.446550000001"/>
    <n v="2508.5534520000001"/>
    <n v="0.15682379669917479"/>
  </r>
  <r>
    <x v="234"/>
    <s v="West"/>
    <s v="Camera"/>
    <s v="Charlie"/>
    <n v="13"/>
    <n v="1537"/>
    <x v="2"/>
    <n v="19981"/>
    <n v="15874.56097"/>
    <n v="4106.4390270000004"/>
    <n v="0.20551719268304891"/>
  </r>
  <r>
    <x v="103"/>
    <s v="West"/>
    <s v="Mobile"/>
    <s v="Alice"/>
    <n v="13"/>
    <n v="1404"/>
    <x v="2"/>
    <n v="18252"/>
    <n v="15753.558139999999"/>
    <n v="2498.4418599999999"/>
    <n v="0.13688592263861493"/>
  </r>
  <r>
    <x v="29"/>
    <s v="Unknown"/>
    <s v="Monitor"/>
    <s v="David"/>
    <n v="1"/>
    <n v="352"/>
    <x v="1"/>
    <n v="352"/>
    <n v="251.4401627"/>
    <n v="100.5598373"/>
    <n v="0.2856813559659091"/>
  </r>
  <r>
    <x v="313"/>
    <s v="South"/>
    <s v="Headphones"/>
    <s v="Charlie"/>
    <n v="10"/>
    <n v="118"/>
    <x v="0"/>
    <n v="1180"/>
    <n v="916.83280509999997"/>
    <n v="263.16719490000003"/>
    <n v="0.22302304652542376"/>
  </r>
  <r>
    <x v="306"/>
    <s v="North"/>
    <s v="Mobile"/>
    <s v="Frank"/>
    <n v="3"/>
    <n v="811"/>
    <x v="2"/>
    <n v="2433"/>
    <n v="2095.2515549999998"/>
    <n v="337.748445"/>
    <n v="0.13881974722564736"/>
  </r>
  <r>
    <x v="152"/>
    <s v="North"/>
    <s v="Headphones"/>
    <s v="Frank"/>
    <n v="4"/>
    <n v="1855"/>
    <x v="0"/>
    <n v="7420"/>
    <n v="4930.1761070000002"/>
    <n v="2489.8238930000002"/>
    <n v="0.33555578072776282"/>
  </r>
  <r>
    <x v="235"/>
    <s v="East"/>
    <s v="Tablet"/>
    <s v="Frank"/>
    <n v="16"/>
    <n v="1259"/>
    <x v="2"/>
    <n v="20144"/>
    <n v="15021.83217"/>
    <n v="5122.1678339999999"/>
    <n v="0.25427759303018266"/>
  </r>
  <r>
    <x v="286"/>
    <s v="West"/>
    <s v="Smartwatch"/>
    <s v="Grace"/>
    <n v="8"/>
    <n v="322"/>
    <x v="0"/>
    <n v="2576"/>
    <n v="2288.0612799999999"/>
    <n v="287.93872019999998"/>
    <n v="0.11177745349378881"/>
  </r>
  <r>
    <x v="41"/>
    <s v="South"/>
    <s v="Printer"/>
    <s v="Hannah"/>
    <n v="16"/>
    <n v="102"/>
    <x v="1"/>
    <n v="1632"/>
    <n v="1211.0754420000001"/>
    <n v="420.92455799999999"/>
    <n v="0.25791945955882351"/>
  </r>
  <r>
    <x v="117"/>
    <s v="North"/>
    <s v="Headphones"/>
    <s v="Hannah"/>
    <n v="17"/>
    <n v="1359"/>
    <x v="0"/>
    <n v="23103"/>
    <n v="15614.1356"/>
    <n v="7488.8643979999997"/>
    <n v="0.32415116642860231"/>
  </r>
  <r>
    <x v="103"/>
    <s v="East"/>
    <s v="Mobile"/>
    <s v="Eva"/>
    <n v="19"/>
    <n v="953"/>
    <x v="2"/>
    <n v="18107"/>
    <n v="12771.28124"/>
    <n v="5335.7187640000002"/>
    <n v="0.2946771284033799"/>
  </r>
  <r>
    <x v="168"/>
    <s v="East"/>
    <s v="Mobile"/>
    <s v="Charlie"/>
    <n v="15"/>
    <n v="1588"/>
    <x v="2"/>
    <n v="23820"/>
    <n v="20616.811119999998"/>
    <n v="3203.1888829999998"/>
    <n v="0.13447476418975651"/>
  </r>
  <r>
    <x v="120"/>
    <s v="South"/>
    <s v="Camera"/>
    <s v="Charlie"/>
    <n v="15"/>
    <n v="1012"/>
    <x v="2"/>
    <n v="15180"/>
    <n v="13434.790199999999"/>
    <n v="1745.209795"/>
    <n v="0.11496770718050066"/>
  </r>
  <r>
    <x v="140"/>
    <s v="East"/>
    <s v="Monitor"/>
    <s v="Eva"/>
    <n v="2"/>
    <n v="1777"/>
    <x v="1"/>
    <n v="3554"/>
    <n v="2877.6123779999998"/>
    <n v="676.38762169999995"/>
    <n v="0.19031728241418119"/>
  </r>
  <r>
    <x v="358"/>
    <s v="North"/>
    <s v="Tablet"/>
    <s v="Alice"/>
    <n v="11"/>
    <n v="598"/>
    <x v="2"/>
    <n v="6578"/>
    <n v="4952.448367"/>
    <n v="1625.551633"/>
    <n v="0.24711943341441167"/>
  </r>
  <r>
    <x v="25"/>
    <s v="East"/>
    <s v="Mobile"/>
    <s v="Eva"/>
    <n v="1"/>
    <n v="620"/>
    <x v="2"/>
    <n v="620"/>
    <n v="405.98014189999998"/>
    <n v="214.01985809999999"/>
    <n v="0.34519331951612903"/>
  </r>
  <r>
    <x v="359"/>
    <s v="West"/>
    <s v="Laptop"/>
    <s v="Frank"/>
    <n v="15"/>
    <n v="801"/>
    <x v="2"/>
    <n v="12015"/>
    <n v="7653.150138"/>
    <n v="4361.849862"/>
    <n v="0.36303369637952559"/>
  </r>
  <r>
    <x v="245"/>
    <s v="West"/>
    <s v="Smartwatch"/>
    <s v="Grace"/>
    <n v="19"/>
    <n v="1985"/>
    <x v="0"/>
    <n v="37715"/>
    <n v="23305.22928"/>
    <n v="14409.77072"/>
    <n v="0.38207001776481508"/>
  </r>
  <r>
    <x v="25"/>
    <s v="South"/>
    <s v="Headphones"/>
    <s v="Alice"/>
    <n v="4"/>
    <n v="1016"/>
    <x v="0"/>
    <n v="4064"/>
    <n v="2459.9980179999998"/>
    <n v="1604.001982"/>
    <n v="0.39468552706692911"/>
  </r>
  <r>
    <x v="242"/>
    <s v="North"/>
    <s v="Camera"/>
    <s v="Grace"/>
    <n v="11"/>
    <n v="1800"/>
    <x v="2"/>
    <n v="19800"/>
    <n v="17096.013330000002"/>
    <n v="2703.9866710000001"/>
    <n v="0.13656498338383838"/>
  </r>
  <r>
    <x v="348"/>
    <s v="North"/>
    <s v="Monitor"/>
    <s v="Frank"/>
    <n v="5"/>
    <n v="1262"/>
    <x v="1"/>
    <n v="6310"/>
    <n v="5317.6003959999998"/>
    <n v="992.3996042"/>
    <n v="0.15727410526148969"/>
  </r>
  <r>
    <x v="108"/>
    <s v="West"/>
    <s v="Printer"/>
    <s v="Bob"/>
    <n v="3"/>
    <n v="1399"/>
    <x v="1"/>
    <n v="4197"/>
    <n v="3233.1439"/>
    <n v="963.85609980000004"/>
    <n v="0.2296535858470336"/>
  </r>
  <r>
    <x v="48"/>
    <s v="East"/>
    <s v="Smartwatch"/>
    <s v="Eva"/>
    <n v="13"/>
    <n v="390"/>
    <x v="0"/>
    <n v="5070"/>
    <n v="4561.05807"/>
    <n v="508.94192980000003"/>
    <n v="0.10038302362919133"/>
  </r>
  <r>
    <x v="81"/>
    <s v="South"/>
    <s v="Tablet"/>
    <s v="Eva"/>
    <n v="10"/>
    <n v="1176"/>
    <x v="2"/>
    <n v="11760"/>
    <n v="10418.36771"/>
    <n v="1341.6322889999999"/>
    <n v="0.11408437831632652"/>
  </r>
  <r>
    <x v="271"/>
    <s v="East"/>
    <s v="Camera"/>
    <s v="David"/>
    <n v="11"/>
    <n v="1810"/>
    <x v="2"/>
    <n v="19910"/>
    <n v="15858.96588"/>
    <n v="4051.034118"/>
    <n v="0.20346730878955299"/>
  </r>
  <r>
    <x v="324"/>
    <s v="East"/>
    <s v="Monitor"/>
    <s v="Charlie"/>
    <n v="18"/>
    <n v="1233"/>
    <x v="1"/>
    <n v="22194"/>
    <n v="16409.630379999999"/>
    <n v="5784.3696179999997"/>
    <n v="0.26062762989997296"/>
  </r>
  <r>
    <x v="223"/>
    <s v="East"/>
    <s v="Headphones"/>
    <s v="Alice"/>
    <n v="2"/>
    <n v="814"/>
    <x v="0"/>
    <n v="1628"/>
    <n v="1051.1201779999999"/>
    <n v="576.8798223"/>
    <n v="0.35434878519656021"/>
  </r>
  <r>
    <x v="189"/>
    <s v="North"/>
    <s v="Headphones"/>
    <s v="Hannah"/>
    <n v="7"/>
    <n v="1047"/>
    <x v="0"/>
    <n v="7329"/>
    <n v="5531.0361000000003"/>
    <n v="1797.9639"/>
    <n v="0.24532185837085549"/>
  </r>
  <r>
    <x v="153"/>
    <s v="West"/>
    <s v="Printer"/>
    <s v="unknown"/>
    <n v="9"/>
    <n v="747"/>
    <x v="1"/>
    <n v="6723"/>
    <n v="4351.9532140000001"/>
    <n v="2371.0467859999999"/>
    <n v="0.35267689811096237"/>
  </r>
  <r>
    <x v="282"/>
    <s v="North"/>
    <s v="Laptop"/>
    <s v="Alice"/>
    <n v="10"/>
    <n v="1127"/>
    <x v="2"/>
    <n v="11270"/>
    <n v="8109.1638599999997"/>
    <n v="3160.8361399999999"/>
    <n v="0.28046460869565215"/>
  </r>
  <r>
    <x v="100"/>
    <s v="West"/>
    <s v="Printer"/>
    <s v="David"/>
    <n v="18"/>
    <n v="1790"/>
    <x v="1"/>
    <n v="32220"/>
    <n v="28443.636620000001"/>
    <n v="3776.3633840000002"/>
    <n v="0.11720556747361888"/>
  </r>
  <r>
    <x v="181"/>
    <s v="South"/>
    <s v="Tablet"/>
    <s v="David"/>
    <n v="7"/>
    <n v="783"/>
    <x v="2"/>
    <n v="5481"/>
    <n v="3850.916052"/>
    <n v="1630.083948"/>
    <n v="0.2974063032293377"/>
  </r>
  <r>
    <x v="355"/>
    <s v="South"/>
    <s v="Camera"/>
    <s v="Grace"/>
    <n v="7"/>
    <n v="969"/>
    <x v="2"/>
    <n v="6783"/>
    <n v="4380.7068230000004"/>
    <n v="2402.293177"/>
    <n v="0.35416381792717089"/>
  </r>
  <r>
    <x v="322"/>
    <s v="East"/>
    <s v="Camera"/>
    <s v="Hannah"/>
    <n v="3"/>
    <n v="1170"/>
    <x v="2"/>
    <n v="3510"/>
    <n v="2719.2636240000002"/>
    <n v="790.73637570000005"/>
    <n v="0.22528101871794873"/>
  </r>
  <r>
    <x v="229"/>
    <s v="West"/>
    <s v="Mobile"/>
    <s v="Charlie"/>
    <n v="12"/>
    <n v="193"/>
    <x v="2"/>
    <n v="2316"/>
    <n v="1808.1226280000001"/>
    <n v="507.87737179999999"/>
    <n v="0.21929074775474958"/>
  </r>
  <r>
    <x v="17"/>
    <s v="West"/>
    <s v="Laptop"/>
    <s v="Grace"/>
    <n v="7"/>
    <n v="1039"/>
    <x v="2"/>
    <n v="7273"/>
    <n v="4786.6614769999996"/>
    <n v="2486.3385229999999"/>
    <n v="0.34185872721022958"/>
  </r>
  <r>
    <x v="177"/>
    <s v="West"/>
    <s v="Laptop"/>
    <s v="Grace"/>
    <n v="17"/>
    <n v="659"/>
    <x v="2"/>
    <n v="11203"/>
    <n v="7382.5078620000004"/>
    <n v="3820.4921380000001"/>
    <n v="0.3410240237436401"/>
  </r>
  <r>
    <x v="124"/>
    <s v="East"/>
    <s v="Camera"/>
    <s v="Frank"/>
    <n v="1"/>
    <n v="1875"/>
    <x v="2"/>
    <n v="1875"/>
    <n v="1681.621758"/>
    <n v="193.3782424"/>
    <n v="0.10313506261333334"/>
  </r>
  <r>
    <x v="100"/>
    <s v="East"/>
    <s v="Camera"/>
    <s v="Hannah"/>
    <n v="5"/>
    <n v="1982"/>
    <x v="2"/>
    <n v="9910"/>
    <n v="6669.2746299999999"/>
    <n v="3240.7253700000001"/>
    <n v="0.32701567810292637"/>
  </r>
  <r>
    <x v="321"/>
    <s v="South"/>
    <s v="Smartwatch"/>
    <s v="Charlie"/>
    <n v="16"/>
    <n v="312"/>
    <x v="0"/>
    <n v="4992"/>
    <n v="4250.4763910000001"/>
    <n v="741.52360869999995"/>
    <n v="0.14854238956330126"/>
  </r>
  <r>
    <x v="139"/>
    <s v="North"/>
    <s v="Monitor"/>
    <s v="Eva"/>
    <n v="15"/>
    <n v="535"/>
    <x v="1"/>
    <n v="8025"/>
    <n v="5947.3046100000001"/>
    <n v="2077.6953899999999"/>
    <n v="0.25890285233644861"/>
  </r>
  <r>
    <x v="336"/>
    <s v="West"/>
    <s v="Smartwatch"/>
    <s v="Frank"/>
    <n v="2"/>
    <n v="951"/>
    <x v="0"/>
    <n v="1902"/>
    <n v="1389.4048600000001"/>
    <n v="512.59514030000003"/>
    <n v="0.26950322833859097"/>
  </r>
  <r>
    <x v="238"/>
    <s v="West"/>
    <s v="Smartwatch"/>
    <s v="Bob"/>
    <n v="9"/>
    <n v="607"/>
    <x v="0"/>
    <n v="5463"/>
    <n v="3761.2139040000002"/>
    <n v="1701.786096"/>
    <n v="0.31151127512355847"/>
  </r>
  <r>
    <x v="199"/>
    <s v="North"/>
    <s v="Laptop"/>
    <s v="Hannah"/>
    <n v="7"/>
    <n v="935"/>
    <x v="2"/>
    <n v="6545"/>
    <n v="5446.4069520000003"/>
    <n v="1098.593048"/>
    <n v="0.16785226096256683"/>
  </r>
  <r>
    <x v="17"/>
    <s v="West"/>
    <s v="Mobile"/>
    <s v="Charlie"/>
    <n v="4"/>
    <n v="750"/>
    <x v="2"/>
    <n v="3000"/>
    <n v="2592.594791"/>
    <n v="407.40520939999999"/>
    <n v="0.13580173646666666"/>
  </r>
  <r>
    <x v="340"/>
    <s v="East"/>
    <s v="Headphones"/>
    <s v="David"/>
    <n v="18"/>
    <n v="304"/>
    <x v="0"/>
    <n v="5472"/>
    <n v="3711.866841"/>
    <n v="1760.133159"/>
    <n v="0.3216617615131579"/>
  </r>
  <r>
    <x v="333"/>
    <s v="West"/>
    <s v="Mobile"/>
    <s v="Charlie"/>
    <n v="13"/>
    <n v="1196"/>
    <x v="2"/>
    <n v="15548"/>
    <n v="9967.4475619999994"/>
    <n v="5580.5524379999997"/>
    <n v="0.35892413416516594"/>
  </r>
  <r>
    <x v="193"/>
    <s v="East"/>
    <s v="Printer"/>
    <s v="Alice"/>
    <n v="1"/>
    <n v="1639"/>
    <x v="1"/>
    <n v="1639"/>
    <n v="1373.2214980000001"/>
    <n v="265.778502"/>
    <n v="0.16215893959731545"/>
  </r>
  <r>
    <x v="181"/>
    <s v="East"/>
    <s v="Tablet"/>
    <s v="Grace"/>
    <n v="3"/>
    <n v="1199"/>
    <x v="2"/>
    <n v="3597"/>
    <n v="2628.5008200000002"/>
    <n v="968.49918000000002"/>
    <n v="0.26925192660550462"/>
  </r>
  <r>
    <x v="166"/>
    <s v="West"/>
    <s v="Smartwatch"/>
    <s v="Bob"/>
    <n v="16"/>
    <n v="1964"/>
    <x v="0"/>
    <n v="31424"/>
    <n v="20097.98587"/>
    <n v="11326.01413"/>
    <n v="0.36042560240580446"/>
  </r>
  <r>
    <x v="116"/>
    <s v="South"/>
    <s v="Printer"/>
    <s v="Eva"/>
    <n v="4"/>
    <n v="176"/>
    <x v="1"/>
    <n v="704"/>
    <n v="494.26886919999998"/>
    <n v="209.73113079999999"/>
    <n v="0.29791353806818183"/>
  </r>
  <r>
    <x v="58"/>
    <s v="North"/>
    <s v="Headphones"/>
    <s v="Grace"/>
    <n v="0"/>
    <n v="915"/>
    <x v="0"/>
    <n v="0"/>
    <n v="0"/>
    <n v="0"/>
    <n v="0"/>
  </r>
  <r>
    <x v="28"/>
    <s v="East"/>
    <s v="Tablet"/>
    <s v="Alice"/>
    <n v="19"/>
    <n v="867"/>
    <x v="2"/>
    <n v="16473"/>
    <n v="14094.55422"/>
    <n v="2378.445784"/>
    <n v="0.14438449487039398"/>
  </r>
  <r>
    <x v="165"/>
    <s v="East"/>
    <s v="Headphones"/>
    <s v="Bob"/>
    <n v="5"/>
    <n v="1737"/>
    <x v="0"/>
    <n v="8685"/>
    <n v="5669.6534629999996"/>
    <n v="3015.3465369999999"/>
    <n v="0.34719015970063327"/>
  </r>
  <r>
    <x v="1"/>
    <s v="East"/>
    <s v="Smartwatch"/>
    <s v="Eva"/>
    <n v="19"/>
    <n v="205"/>
    <x v="0"/>
    <n v="3895"/>
    <n v="2522.4441189999998"/>
    <n v="1372.555881"/>
    <n v="0.3523891863928113"/>
  </r>
  <r>
    <x v="86"/>
    <s v="North"/>
    <s v="Laptop"/>
    <s v="David"/>
    <n v="11"/>
    <n v="1968"/>
    <x v="2"/>
    <n v="21648"/>
    <n v="15666.663329999999"/>
    <n v="5981.3366699999997"/>
    <n v="0.27629973531042129"/>
  </r>
  <r>
    <x v="59"/>
    <s v="East"/>
    <s v="Headphones"/>
    <s v="Frank"/>
    <n v="13"/>
    <n v="650"/>
    <x v="0"/>
    <n v="8450"/>
    <n v="5260.6138689999998"/>
    <n v="3189.3861310000002"/>
    <n v="0.37744214568047341"/>
  </r>
  <r>
    <x v="125"/>
    <s v="North"/>
    <s v="Headphones"/>
    <s v="Hannah"/>
    <n v="5"/>
    <n v="1599"/>
    <x v="0"/>
    <n v="7995"/>
    <n v="6609.2519030000003"/>
    <n v="1385.7480969999999"/>
    <n v="0.17332684140087554"/>
  </r>
  <r>
    <x v="182"/>
    <s v="North"/>
    <s v="Headphones"/>
    <s v="Eva"/>
    <n v="4"/>
    <n v="925"/>
    <x v="0"/>
    <n v="3700"/>
    <n v="2665.6137410000001"/>
    <n v="1034.3862590000001"/>
    <n v="0.27956385378378379"/>
  </r>
  <r>
    <x v="261"/>
    <s v="North"/>
    <s v="Tablet"/>
    <s v="Hannah"/>
    <n v="4"/>
    <n v="1398"/>
    <x v="2"/>
    <n v="5592"/>
    <n v="3930.6566809999999"/>
    <n v="1661.3433190000001"/>
    <n v="0.29709286820457798"/>
  </r>
  <r>
    <x v="3"/>
    <s v="South"/>
    <s v="Monitor"/>
    <s v="Charlie"/>
    <n v="4"/>
    <n v="187"/>
    <x v="1"/>
    <n v="748"/>
    <n v="563.04390980000005"/>
    <n v="184.95609020000001"/>
    <n v="0.24726750026737968"/>
  </r>
  <r>
    <x v="193"/>
    <s v="West"/>
    <s v="Mobile"/>
    <s v="Alice"/>
    <n v="4"/>
    <n v="1846"/>
    <x v="2"/>
    <n v="7384"/>
    <n v="6000.881112"/>
    <n v="1383.118888"/>
    <n v="0.18731295882990248"/>
  </r>
  <r>
    <x v="219"/>
    <s v="South"/>
    <s v="Printer"/>
    <s v="Charlie"/>
    <n v="18"/>
    <n v="980"/>
    <x v="1"/>
    <n v="17640"/>
    <n v="13596.98403"/>
    <n v="4043.0159699999999"/>
    <n v="0.22919591666666667"/>
  </r>
  <r>
    <x v="61"/>
    <s v="West"/>
    <s v="Laptop"/>
    <s v="David"/>
    <n v="18"/>
    <n v="1200"/>
    <x v="2"/>
    <n v="21600"/>
    <n v="18159.570029999999"/>
    <n v="3440.4299740000001"/>
    <n v="0.15927916546296297"/>
  </r>
  <r>
    <x v="115"/>
    <s v="West"/>
    <s v="Smartwatch"/>
    <s v="Charlie"/>
    <n v="16"/>
    <n v="1200"/>
    <x v="0"/>
    <n v="19200"/>
    <n v="15145.12837"/>
    <n v="4054.8716319999999"/>
    <n v="0.21119123083333333"/>
  </r>
  <r>
    <x v="138"/>
    <s v="North"/>
    <s v="Smartwatch"/>
    <s v="Eva"/>
    <n v="9"/>
    <n v="1565"/>
    <x v="0"/>
    <n v="14085"/>
    <n v="11780.568359999999"/>
    <n v="2304.4316349999999"/>
    <n v="0.16360891977280795"/>
  </r>
  <r>
    <x v="231"/>
    <s v="East"/>
    <s v="Printer"/>
    <s v="Charlie"/>
    <n v="18"/>
    <n v="639"/>
    <x v="1"/>
    <n v="11502"/>
    <n v="9305.5169129999995"/>
    <n v="2196.4830870000001"/>
    <n v="0.19096531794470528"/>
  </r>
  <r>
    <x v="106"/>
    <s v="North"/>
    <s v="Mobile"/>
    <s v="David"/>
    <n v="2"/>
    <n v="344"/>
    <x v="2"/>
    <n v="688"/>
    <n v="452.66055419999998"/>
    <n v="235.33944579999999"/>
    <n v="0.34206314796511628"/>
  </r>
  <r>
    <x v="90"/>
    <s v="East"/>
    <s v="Headphones"/>
    <s v="David"/>
    <n v="4"/>
    <n v="677"/>
    <x v="0"/>
    <n v="2708"/>
    <n v="1667.3327549999999"/>
    <n v="1040.6672450000001"/>
    <n v="0.38429366506646978"/>
  </r>
  <r>
    <x v="233"/>
    <s v="North"/>
    <s v="Laptop"/>
    <s v="Eva"/>
    <n v="7"/>
    <n v="1505"/>
    <x v="2"/>
    <n v="10535"/>
    <n v="9309.7463110000008"/>
    <n v="1225.2536889999999"/>
    <n v="0.11630315035595633"/>
  </r>
  <r>
    <x v="8"/>
    <s v="East"/>
    <s v="Smartwatch"/>
    <s v="David"/>
    <n v="15"/>
    <n v="1081"/>
    <x v="0"/>
    <n v="16215"/>
    <n v="13265.16216"/>
    <n v="2949.8378429999998"/>
    <n v="0.18192031100832562"/>
  </r>
  <r>
    <x v="271"/>
    <s v="South"/>
    <s v="Printer"/>
    <s v="Alice"/>
    <n v="7"/>
    <n v="816"/>
    <x v="1"/>
    <n v="5712"/>
    <n v="4668.199098"/>
    <n v="1043.800902"/>
    <n v="0.18273825315126049"/>
  </r>
  <r>
    <x v="83"/>
    <s v="East"/>
    <s v="Camera"/>
    <s v="Grace"/>
    <n v="17"/>
    <n v="1693"/>
    <x v="2"/>
    <n v="28781"/>
    <n v="19601.130939999999"/>
    <n v="9179.8690630000001"/>
    <n v="0.3189558758555992"/>
  </r>
  <r>
    <x v="172"/>
    <s v="North"/>
    <s v="Monitor"/>
    <s v="David"/>
    <n v="16"/>
    <n v="1836"/>
    <x v="1"/>
    <n v="29376"/>
    <n v="22406.030289999999"/>
    <n v="6969.9697079999996"/>
    <n v="0.2372674873366013"/>
  </r>
  <r>
    <x v="221"/>
    <s v="South"/>
    <s v="Printer"/>
    <s v="Charlie"/>
    <n v="19"/>
    <n v="1860"/>
    <x v="1"/>
    <n v="35340"/>
    <n v="31723.724910000001"/>
    <n v="3616.2750850000002"/>
    <n v="0.10232810087719299"/>
  </r>
  <r>
    <x v="115"/>
    <s v="East"/>
    <s v="Unknown"/>
    <s v="Frank"/>
    <n v="9"/>
    <n v="241"/>
    <x v="1"/>
    <n v="2169"/>
    <n v="1858.4926390000001"/>
    <n v="310.50736069999999"/>
    <n v="0.14315692056247117"/>
  </r>
  <r>
    <x v="321"/>
    <s v="East"/>
    <s v="Smartwatch"/>
    <s v="Charlie"/>
    <n v="14"/>
    <n v="992"/>
    <x v="0"/>
    <n v="13888"/>
    <n v="9601.0286300000007"/>
    <n v="4286.9713700000002"/>
    <n v="0.30868169426843317"/>
  </r>
  <r>
    <x v="259"/>
    <s v="East"/>
    <s v="Headphones"/>
    <s v="Frank"/>
    <n v="17"/>
    <n v="1491"/>
    <x v="0"/>
    <n v="25347"/>
    <n v="17497.382870000001"/>
    <n v="7849.6171329999997"/>
    <n v="0.30968624030457254"/>
  </r>
  <r>
    <x v="74"/>
    <s v="westt"/>
    <s v="Camera"/>
    <s v="Charlie"/>
    <n v="5"/>
    <n v="1207"/>
    <x v="2"/>
    <n v="6035"/>
    <n v="4496.5166859999999"/>
    <n v="1538.4833140000001"/>
    <n v="0.25492681259320632"/>
  </r>
  <r>
    <x v="98"/>
    <s v="East"/>
    <s v="Mobile"/>
    <s v="Eva"/>
    <n v="2"/>
    <n v="1266"/>
    <x v="2"/>
    <n v="2532"/>
    <n v="1826.5331470000001"/>
    <n v="705.46685319999995"/>
    <n v="0.27862040015797784"/>
  </r>
  <r>
    <x v="236"/>
    <s v="North"/>
    <s v="Laptop"/>
    <s v="Charlie"/>
    <n v="16"/>
    <n v="451"/>
    <x v="2"/>
    <n v="7216"/>
    <n v="5133.0721149999999"/>
    <n v="2082.9278850000001"/>
    <n v="0.28865408605875831"/>
  </r>
  <r>
    <x v="99"/>
    <s v="West"/>
    <s v="Mobile"/>
    <s v="Eva"/>
    <n v="14"/>
    <n v="644"/>
    <x v="2"/>
    <n v="9016"/>
    <n v="7105.4336190000004"/>
    <n v="1910.5663810000001"/>
    <n v="0.21190842735137536"/>
  </r>
  <r>
    <x v="324"/>
    <s v="South"/>
    <s v="Mobile"/>
    <s v="Eva"/>
    <n v="14"/>
    <n v="1012"/>
    <x v="2"/>
    <n v="14168"/>
    <n v="8549.6475929999997"/>
    <n v="5618.3524070000003"/>
    <n v="0.39655225910502545"/>
  </r>
  <r>
    <x v="123"/>
    <s v="South"/>
    <s v="Printer"/>
    <s v="David"/>
    <n v="1"/>
    <n v="251"/>
    <x v="1"/>
    <n v="251"/>
    <n v="208.0794746"/>
    <n v="42.920525410000003"/>
    <n v="0.17099810920318725"/>
  </r>
  <r>
    <x v="103"/>
    <s v="South"/>
    <s v="Monitor"/>
    <s v="Alice"/>
    <n v="3"/>
    <n v="1281"/>
    <x v="1"/>
    <n v="3843"/>
    <n v="3159.0070999999998"/>
    <n v="683.99290010000004"/>
    <n v="0.17798410098881084"/>
  </r>
  <r>
    <x v="235"/>
    <s v="West"/>
    <s v="Laptop"/>
    <s v="Frank"/>
    <n v="7"/>
    <n v="1569"/>
    <x v="2"/>
    <n v="10983"/>
    <n v="9325.6400850000009"/>
    <n v="1657.359915"/>
    <n v="0.15090229582081399"/>
  </r>
  <r>
    <x v="237"/>
    <s v="Unknown"/>
    <s v="Laptop"/>
    <s v="David"/>
    <n v="15"/>
    <n v="752"/>
    <x v="2"/>
    <n v="11280"/>
    <n v="9615.4690780000001"/>
    <n v="1664.5309219999999"/>
    <n v="0.1475647980496454"/>
  </r>
  <r>
    <x v="42"/>
    <s v="West"/>
    <s v="Smartwatch"/>
    <s v="David"/>
    <n v="19"/>
    <n v="1057"/>
    <x v="0"/>
    <n v="20083"/>
    <n v="15462.301520000001"/>
    <n v="4620.6984789999997"/>
    <n v="0.23008009156998455"/>
  </r>
  <r>
    <x v="39"/>
    <s v="South"/>
    <s v="Smartwatch"/>
    <s v="Grace"/>
    <n v="2"/>
    <n v="862"/>
    <x v="0"/>
    <n v="1724"/>
    <n v="1437.8542399999999"/>
    <n v="286.14576049999999"/>
    <n v="0.16597781931554523"/>
  </r>
  <r>
    <x v="185"/>
    <s v="East"/>
    <s v="Laptop"/>
    <s v="Eva"/>
    <n v="19"/>
    <n v="1426"/>
    <x v="2"/>
    <n v="27094"/>
    <n v="20258.68606"/>
    <n v="6835.3139410000003"/>
    <n v="0.25228146235328858"/>
  </r>
  <r>
    <x v="253"/>
    <s v="East"/>
    <s v="Camera"/>
    <s v="Eva"/>
    <n v="9"/>
    <n v="723"/>
    <x v="2"/>
    <n v="6507"/>
    <n v="5761.6813940000002"/>
    <n v="745.31860630000006"/>
    <n v="0.11454104907023206"/>
  </r>
  <r>
    <x v="158"/>
    <s v="South"/>
    <s v="Tablet"/>
    <s v="Frank"/>
    <n v="19"/>
    <n v="755"/>
    <x v="2"/>
    <n v="14345"/>
    <n v="9427.6711230000001"/>
    <n v="4917.3288769999999"/>
    <n v="0.34279044105960266"/>
  </r>
  <r>
    <x v="169"/>
    <s v="East"/>
    <s v="Smartwatch"/>
    <s v="Charlie"/>
    <n v="5"/>
    <n v="549"/>
    <x v="0"/>
    <n v="2745"/>
    <n v="2401.010675"/>
    <n v="343.9893247"/>
    <n v="0.12531487238615666"/>
  </r>
  <r>
    <x v="268"/>
    <s v="South"/>
    <s v="Tablet"/>
    <s v="Charlie"/>
    <n v="18"/>
    <n v="820"/>
    <x v="2"/>
    <n v="14760"/>
    <n v="10000.772440000001"/>
    <n v="4759.2275600000003"/>
    <n v="0.32244089159891598"/>
  </r>
  <r>
    <x v="203"/>
    <s v="East"/>
    <s v="Printer"/>
    <s v="Hannah"/>
    <n v="16"/>
    <n v="1347"/>
    <x v="1"/>
    <n v="21552"/>
    <n v="13595.36824"/>
    <n v="7956.6317550000003"/>
    <n v="0.36918298788975501"/>
  </r>
  <r>
    <x v="156"/>
    <s v="Unknown"/>
    <s v="Camera"/>
    <s v="David"/>
    <n v="4"/>
    <n v="142"/>
    <x v="2"/>
    <n v="568"/>
    <n v="415.62339780000002"/>
    <n v="152.37660220000001"/>
    <n v="0.26826866584507042"/>
  </r>
  <r>
    <x v="120"/>
    <s v="North"/>
    <s v="Laptop"/>
    <s v="Hannah"/>
    <n v="12"/>
    <n v="363"/>
    <x v="2"/>
    <n v="4356"/>
    <n v="3417.1738519999999"/>
    <n v="938.82614760000001"/>
    <n v="0.21552482727272729"/>
  </r>
  <r>
    <x v="329"/>
    <s v="North"/>
    <s v="Camera"/>
    <s v="Bob"/>
    <n v="7"/>
    <n v="1879"/>
    <x v="2"/>
    <n v="13153"/>
    <n v="8803.2629410000009"/>
    <n v="4349.737059"/>
    <n v="0.33070303801414125"/>
  </r>
  <r>
    <x v="186"/>
    <s v="West"/>
    <s v="Smartwatch"/>
    <s v="Bob"/>
    <n v="14"/>
    <n v="1126"/>
    <x v="0"/>
    <n v="15764"/>
    <n v="12086.871580000001"/>
    <n v="3677.128416"/>
    <n v="0.23326112763258056"/>
  </r>
  <r>
    <x v="193"/>
    <s v="West"/>
    <s v="Mobile"/>
    <s v="Hannah"/>
    <n v="12"/>
    <n v="1760"/>
    <x v="2"/>
    <n v="21120"/>
    <n v="17790.812310000001"/>
    <n v="3329.1876900000002"/>
    <n v="0.15763199289772728"/>
  </r>
  <r>
    <x v="339"/>
    <s v="South"/>
    <s v="Printer"/>
    <s v="Charlie"/>
    <n v="3"/>
    <n v="1391"/>
    <x v="1"/>
    <n v="4173"/>
    <n v="2825.6446689999998"/>
    <n v="1347.355331"/>
    <n v="0.32287451018451951"/>
  </r>
  <r>
    <x v="29"/>
    <s v="South"/>
    <s v="Laptop"/>
    <s v="Bob"/>
    <n v="5"/>
    <n v="695"/>
    <x v="2"/>
    <n v="3475"/>
    <n v="2689.9859409999999"/>
    <n v="785.0140586"/>
    <n v="0.22590332621582734"/>
  </r>
  <r>
    <x v="83"/>
    <s v="South"/>
    <s v="Headphones"/>
    <s v="Grace"/>
    <n v="17"/>
    <n v="1139"/>
    <x v="0"/>
    <n v="19363"/>
    <n v="13588.83294"/>
    <n v="5774.1670599999998"/>
    <n v="0.29820622114341783"/>
  </r>
  <r>
    <x v="331"/>
    <s v="East"/>
    <s v="Printer"/>
    <s v="Charlie"/>
    <n v="10"/>
    <n v="1457"/>
    <x v="1"/>
    <n v="14570"/>
    <n v="11057.617969999999"/>
    <n v="3512.382028"/>
    <n v="0.24106945971173643"/>
  </r>
  <r>
    <x v="277"/>
    <s v="South"/>
    <s v="Monitor"/>
    <s v="Eva"/>
    <n v="10"/>
    <n v="1587"/>
    <x v="1"/>
    <n v="15870"/>
    <n v="12697.20145"/>
    <n v="3172.7985480000002"/>
    <n v="0.1999242941398866"/>
  </r>
  <r>
    <x v="90"/>
    <s v="West"/>
    <s v="Tablet"/>
    <s v="David"/>
    <n v="11"/>
    <n v="1182"/>
    <x v="2"/>
    <n v="13002"/>
    <n v="9168.0582840000006"/>
    <n v="3833.9417159999998"/>
    <n v="0.29487322842639591"/>
  </r>
  <r>
    <x v="193"/>
    <s v="North"/>
    <s v="Camera"/>
    <s v="Alice"/>
    <n v="17"/>
    <n v="1112"/>
    <x v="2"/>
    <n v="18904"/>
    <n v="16982.311320000001"/>
    <n v="1921.6886770000001"/>
    <n v="0.10165513526237833"/>
  </r>
  <r>
    <x v="162"/>
    <s v="East"/>
    <s v="Laptop"/>
    <s v="David"/>
    <n v="5"/>
    <n v="276"/>
    <x v="2"/>
    <n v="1380"/>
    <n v="1061.402932"/>
    <n v="318.59706790000001"/>
    <n v="0.23086744050724639"/>
  </r>
  <r>
    <x v="190"/>
    <s v="South"/>
    <s v="Printer"/>
    <s v="Hannah"/>
    <n v="13"/>
    <n v="162"/>
    <x v="1"/>
    <n v="2106"/>
    <n v="1784.494813"/>
    <n v="321.50518699999998"/>
    <n v="0.15266153228869894"/>
  </r>
  <r>
    <x v="94"/>
    <s v="North"/>
    <s v="Camera"/>
    <s v="Charlie"/>
    <n v="10"/>
    <n v="1057"/>
    <x v="2"/>
    <n v="10570"/>
    <n v="8641.4037919999992"/>
    <n v="1928.5962079999999"/>
    <n v="0.18245943311258278"/>
  </r>
  <r>
    <x v="306"/>
    <s v="Unknown"/>
    <s v="Laptop"/>
    <s v="Hannah"/>
    <n v="9"/>
    <n v="1102"/>
    <x v="2"/>
    <n v="9918"/>
    <n v="8488.2369299999991"/>
    <n v="1429.76307"/>
    <n v="0.14415840592861465"/>
  </r>
  <r>
    <x v="187"/>
    <s v="South"/>
    <s v="Unknown"/>
    <s v="Grace"/>
    <n v="17"/>
    <n v="660"/>
    <x v="0"/>
    <n v="11220"/>
    <n v="7317.014013"/>
    <n v="3902.985987"/>
    <n v="0.34785971363636364"/>
  </r>
  <r>
    <x v="265"/>
    <s v="East"/>
    <s v="Printer"/>
    <s v="Charlie"/>
    <n v="1"/>
    <n v="1430"/>
    <x v="1"/>
    <n v="1430"/>
    <n v="953.47554149999996"/>
    <n v="476.52445849999998"/>
    <n v="0.33323388706293705"/>
  </r>
  <r>
    <x v="178"/>
    <s v="North"/>
    <s v="Smartwatch"/>
    <s v="David"/>
    <n v="4"/>
    <n v="1369"/>
    <x v="0"/>
    <n v="5476"/>
    <n v="4086.3190829999999"/>
    <n v="1389.6809169999999"/>
    <n v="0.25377664663988309"/>
  </r>
  <r>
    <x v="43"/>
    <s v="West"/>
    <s v="Printer"/>
    <s v="Grace"/>
    <n v="4"/>
    <n v="1412"/>
    <x v="1"/>
    <n v="5648"/>
    <n v="4832.9857089999996"/>
    <n v="815.01429059999998"/>
    <n v="0.1443013970609065"/>
  </r>
  <r>
    <x v="187"/>
    <s v="West"/>
    <s v="Smartwatch"/>
    <s v="Grace"/>
    <n v="18"/>
    <n v="1921"/>
    <x v="0"/>
    <n v="34578"/>
    <n v="22796.652109999999"/>
    <n v="11781.347889999999"/>
    <n v="0.34071802562322862"/>
  </r>
  <r>
    <x v="53"/>
    <s v="East"/>
    <s v="Camera"/>
    <s v="Frank"/>
    <n v="18"/>
    <n v="1455"/>
    <x v="2"/>
    <n v="26190"/>
    <n v="16716.571339999999"/>
    <n v="9473.4286639999991"/>
    <n v="0.36171930752195491"/>
  </r>
  <r>
    <x v="269"/>
    <s v="South"/>
    <s v="Headphones"/>
    <s v="Charlie"/>
    <n v="14"/>
    <n v="1650"/>
    <x v="0"/>
    <n v="23100"/>
    <n v="15073.29016"/>
    <n v="8026.7098400000004"/>
    <n v="0.34747661645021649"/>
  </r>
  <r>
    <x v="331"/>
    <s v="East"/>
    <s v="Printer"/>
    <s v="Bob"/>
    <n v="15"/>
    <n v="949"/>
    <x v="1"/>
    <n v="14235"/>
    <n v="9255.1718720000008"/>
    <n v="4979.8281280000001"/>
    <n v="0.34982986498068142"/>
  </r>
  <r>
    <x v="150"/>
    <s v="East"/>
    <s v="Printer"/>
    <s v="Charlie"/>
    <n v="10"/>
    <n v="703"/>
    <x v="1"/>
    <n v="7030"/>
    <n v="6153.0941409999996"/>
    <n v="876.9058589"/>
    <n v="0.12473767551920341"/>
  </r>
  <r>
    <x v="140"/>
    <s v="West"/>
    <s v="Smartwatch"/>
    <s v="Charlie"/>
    <n v="15"/>
    <n v="1633"/>
    <x v="0"/>
    <n v="24495"/>
    <n v="16571.686030000001"/>
    <n v="7923.3139709999996"/>
    <n v="0.32346658383343535"/>
  </r>
  <r>
    <x v="1"/>
    <s v="East"/>
    <s v="Laptop"/>
    <s v="Frank"/>
    <n v="4"/>
    <n v="1914"/>
    <x v="2"/>
    <n v="7656"/>
    <n v="5863.8150450000003"/>
    <n v="1792.1849549999999"/>
    <n v="0.23408894396551724"/>
  </r>
  <r>
    <x v="267"/>
    <s v="North"/>
    <s v="Printer"/>
    <s v="Bob"/>
    <n v="18"/>
    <n v="1841"/>
    <x v="1"/>
    <n v="33138"/>
    <n v="21630.224829999999"/>
    <n v="11507.775170000001"/>
    <n v="0.34726824702758163"/>
  </r>
  <r>
    <x v="227"/>
    <s v="West"/>
    <s v="Monitor"/>
    <s v="Charlie"/>
    <n v="18"/>
    <n v="705"/>
    <x v="1"/>
    <n v="12690"/>
    <n v="10016.738160000001"/>
    <n v="2673.2618360000001"/>
    <n v="0.21065893112687156"/>
  </r>
  <r>
    <x v="203"/>
    <s v="East"/>
    <s v="Smartwatch"/>
    <s v="Charlie"/>
    <n v="17"/>
    <n v="1860"/>
    <x v="0"/>
    <n v="31620"/>
    <n v="20141.114740000001"/>
    <n v="11478.885259999999"/>
    <n v="0.36302609930423779"/>
  </r>
  <r>
    <x v="323"/>
    <s v="East"/>
    <s v="Mobile"/>
    <s v="Hannah"/>
    <n v="12"/>
    <n v="1936"/>
    <x v="2"/>
    <n v="23232"/>
    <n v="17363.43953"/>
    <n v="5868.5604750000002"/>
    <n v="0.2526067697572314"/>
  </r>
  <r>
    <x v="331"/>
    <s v="West"/>
    <s v="Smartwatch"/>
    <s v="Frank"/>
    <n v="7"/>
    <n v="929"/>
    <x v="0"/>
    <n v="6503"/>
    <n v="5179.9942000000001"/>
    <n v="1323.0057999999999"/>
    <n v="0.20344545594341071"/>
  </r>
  <r>
    <x v="225"/>
    <s v="South"/>
    <s v="Camera"/>
    <s v="Frank"/>
    <n v="16"/>
    <n v="1586"/>
    <x v="2"/>
    <n v="25376"/>
    <n v="19634.384999999998"/>
    <n v="5741.6149949999999"/>
    <n v="0.22626162496059268"/>
  </r>
  <r>
    <x v="331"/>
    <s v="West"/>
    <s v="Headphones"/>
    <s v="David"/>
    <n v="11"/>
    <n v="1322"/>
    <x v="0"/>
    <n v="14542"/>
    <n v="9335.9661059999999"/>
    <n v="5206.0338940000001"/>
    <n v="0.35799985517810479"/>
  </r>
  <r>
    <x v="315"/>
    <s v="South"/>
    <s v="Mobile"/>
    <s v="Frank"/>
    <n v="14"/>
    <n v="1394"/>
    <x v="2"/>
    <n v="19516"/>
    <n v="12654.408820000001"/>
    <n v="6861.5911839999999"/>
    <n v="0.35158798852223816"/>
  </r>
  <r>
    <x v="73"/>
    <s v="North"/>
    <s v="Camera"/>
    <s v="Alice"/>
    <n v="3"/>
    <n v="845"/>
    <x v="2"/>
    <n v="2535"/>
    <n v="2031.5928590000001"/>
    <n v="503.40714079999998"/>
    <n v="0.19858269854043392"/>
  </r>
  <r>
    <x v="89"/>
    <s v="North"/>
    <s v="Camera"/>
    <s v="Bob"/>
    <n v="19"/>
    <n v="657"/>
    <x v="2"/>
    <n v="12483"/>
    <n v="10519.084419999999"/>
    <n v="1963.915577"/>
    <n v="0.15732721116718737"/>
  </r>
  <r>
    <x v="231"/>
    <s v="West"/>
    <s v="Camera"/>
    <s v="David"/>
    <n v="18"/>
    <n v="163"/>
    <x v="2"/>
    <n v="2934"/>
    <n v="2559.687089"/>
    <n v="374.31291090000002"/>
    <n v="0.12757767924335378"/>
  </r>
  <r>
    <x v="99"/>
    <s v="West"/>
    <s v="Laptop"/>
    <s v="Alice"/>
    <n v="10"/>
    <n v="1353"/>
    <x v="2"/>
    <n v="13530"/>
    <n v="11420.449140000001"/>
    <n v="2109.5508589999999"/>
    <n v="0.15591654538063562"/>
  </r>
  <r>
    <x v="164"/>
    <s v="North"/>
    <s v="Camera"/>
    <s v="Charlie"/>
    <n v="6"/>
    <n v="1041"/>
    <x v="2"/>
    <n v="6246"/>
    <n v="5572.5385640000004"/>
    <n v="673.46143570000004"/>
    <n v="0.10782283632724944"/>
  </r>
  <r>
    <x v="258"/>
    <s v="South"/>
    <s v="Laptop"/>
    <s v="Hannah"/>
    <n v="13"/>
    <n v="348"/>
    <x v="2"/>
    <n v="4524"/>
    <n v="3268.4793490000002"/>
    <n v="1255.520651"/>
    <n v="0.27752445866489833"/>
  </r>
  <r>
    <x v="260"/>
    <s v="North"/>
    <s v="Camera"/>
    <s v="Hannah"/>
    <n v="10"/>
    <n v="1369"/>
    <x v="2"/>
    <n v="13690"/>
    <n v="9574.097753"/>
    <n v="4115.902247"/>
    <n v="0.30065027370343317"/>
  </r>
  <r>
    <x v="49"/>
    <s v="West"/>
    <s v="Tablet"/>
    <s v="Charlie"/>
    <n v="18"/>
    <n v="1039"/>
    <x v="2"/>
    <n v="18702"/>
    <n v="11379.32944"/>
    <n v="7322.670556"/>
    <n v="0.39154478430114426"/>
  </r>
  <r>
    <x v="337"/>
    <s v="North"/>
    <s v="Monitor"/>
    <s v="David"/>
    <n v="16"/>
    <n v="1710"/>
    <x v="1"/>
    <n v="27360"/>
    <n v="20108.745190000001"/>
    <n v="7251.2548139999999"/>
    <n v="0.26503124320175436"/>
  </r>
  <r>
    <x v="28"/>
    <s v="West"/>
    <s v="Mobile"/>
    <s v="Frank"/>
    <n v="6"/>
    <n v="256"/>
    <x v="2"/>
    <n v="1536"/>
    <n v="1221.752011"/>
    <n v="314.24798859999999"/>
    <n v="0.20458853424479165"/>
  </r>
  <r>
    <x v="28"/>
    <s v="West"/>
    <s v="Tablet"/>
    <s v="Grace"/>
    <n v="13"/>
    <n v="834"/>
    <x v="2"/>
    <n v="10842"/>
    <n v="9157.3981469999999"/>
    <n v="1684.6018529999999"/>
    <n v="0.15537740758162699"/>
  </r>
  <r>
    <x v="67"/>
    <s v="North"/>
    <s v="Camera"/>
    <s v="Hannah"/>
    <n v="4"/>
    <n v="1825"/>
    <x v="2"/>
    <n v="7300"/>
    <n v="4965.727288"/>
    <n v="2334.272712"/>
    <n v="0.31976338520547942"/>
  </r>
  <r>
    <x v="184"/>
    <s v="South"/>
    <s v="Mobile"/>
    <s v="Grace"/>
    <n v="14"/>
    <n v="1084"/>
    <x v="2"/>
    <n v="15176"/>
    <n v="11443.878360000001"/>
    <n v="3732.1216370000002"/>
    <n v="0.24592261709277807"/>
  </r>
  <r>
    <x v="235"/>
    <s v="East"/>
    <s v="Mobile"/>
    <s v="Charlie"/>
    <n v="1"/>
    <n v="1687"/>
    <x v="2"/>
    <n v="1687"/>
    <n v="1347.2430409999999"/>
    <n v="339.75695930000001"/>
    <n v="0.20139713058684056"/>
  </r>
  <r>
    <x v="325"/>
    <s v="North"/>
    <s v="Printer"/>
    <s v="Grace"/>
    <n v="5"/>
    <n v="1211"/>
    <x v="1"/>
    <n v="6055"/>
    <n v="4634.9866060000004"/>
    <n v="1420.0133940000001"/>
    <n v="0.23451914021469861"/>
  </r>
  <r>
    <x v="129"/>
    <s v="East"/>
    <s v="Headphones"/>
    <s v="Eva"/>
    <n v="8"/>
    <n v="1436"/>
    <x v="0"/>
    <n v="11488"/>
    <n v="7837.1850000000004"/>
    <n v="3650.8150000000001"/>
    <n v="0.31779378481894149"/>
  </r>
  <r>
    <x v="26"/>
    <s v="North"/>
    <s v="Tablet"/>
    <s v="David"/>
    <n v="12"/>
    <n v="1974"/>
    <x v="2"/>
    <n v="23688"/>
    <n v="19871.501520000002"/>
    <n v="3816.4984800000002"/>
    <n v="0.16111526849037489"/>
  </r>
  <r>
    <x v="200"/>
    <s v="East"/>
    <s v="Headphones"/>
    <s v="Alice"/>
    <n v="2"/>
    <n v="1189"/>
    <x v="0"/>
    <n v="2378"/>
    <n v="1550.4757460000001"/>
    <n v="827.52425370000003"/>
    <n v="0.34799169625735915"/>
  </r>
  <r>
    <x v="29"/>
    <s v="South"/>
    <s v="Mobile"/>
    <s v="David"/>
    <n v="12"/>
    <n v="761"/>
    <x v="2"/>
    <n v="9132"/>
    <n v="7958.4827530000002"/>
    <n v="1173.517247"/>
    <n v="0.12850604982479194"/>
  </r>
  <r>
    <x v="332"/>
    <s v="South"/>
    <s v="Laptop"/>
    <s v="unknown"/>
    <n v="5"/>
    <n v="1143"/>
    <x v="2"/>
    <n v="5715"/>
    <n v="5062.2271259999998"/>
    <n v="652.77287369999999"/>
    <n v="0.11422097527559055"/>
  </r>
  <r>
    <x v="60"/>
    <s v="North"/>
    <s v="Mobile"/>
    <s v="Frank"/>
    <n v="5"/>
    <n v="132"/>
    <x v="2"/>
    <n v="660"/>
    <n v="468.38350589999999"/>
    <n v="191.61649410000001"/>
    <n v="0.29032802136363639"/>
  </r>
  <r>
    <x v="212"/>
    <s v="West"/>
    <s v="Headphones"/>
    <s v="Frank"/>
    <n v="13"/>
    <n v="1963"/>
    <x v="0"/>
    <n v="25519"/>
    <n v="18191.334930000001"/>
    <n v="7327.6650669999999"/>
    <n v="0.28714546287080217"/>
  </r>
  <r>
    <x v="30"/>
    <s v="Unknown"/>
    <s v="Tablet"/>
    <s v="David"/>
    <n v="9"/>
    <n v="1916"/>
    <x v="2"/>
    <n v="17244"/>
    <n v="14191.52709"/>
    <n v="3052.4729109999998"/>
    <n v="0.17701652232660633"/>
  </r>
  <r>
    <x v="285"/>
    <s v="West"/>
    <s v="Camera"/>
    <s v="Charlie"/>
    <n v="10"/>
    <n v="657"/>
    <x v="2"/>
    <n v="6570"/>
    <n v="4841.3448280000002"/>
    <n v="1728.655172"/>
    <n v="0.26311342039573821"/>
  </r>
  <r>
    <x v="279"/>
    <s v="West"/>
    <s v="Printer"/>
    <s v="Charlie"/>
    <n v="1"/>
    <n v="172"/>
    <x v="1"/>
    <n v="172"/>
    <n v="104.6762834"/>
    <n v="67.323716590000004"/>
    <n v="0.39141695691860467"/>
  </r>
  <r>
    <x v="281"/>
    <s v="West"/>
    <s v="Printer"/>
    <s v="Eva"/>
    <n v="3"/>
    <n v="1989"/>
    <x v="1"/>
    <n v="5967"/>
    <n v="5226.8713299999999"/>
    <n v="740.12866980000001"/>
    <n v="0.1240369816993464"/>
  </r>
  <r>
    <x v="129"/>
    <s v="South"/>
    <s v="Printer"/>
    <s v="Eva"/>
    <n v="18"/>
    <n v="924"/>
    <x v="1"/>
    <n v="16632"/>
    <n v="12128.47191"/>
    <n v="4503.5280940000002"/>
    <n v="0.27077489742664745"/>
  </r>
  <r>
    <x v="22"/>
    <s v="North"/>
    <s v="Camera"/>
    <s v="Frank"/>
    <n v="12"/>
    <n v="1466"/>
    <x v="2"/>
    <n v="17592"/>
    <n v="11629.16574"/>
    <n v="5962.8342570000004"/>
    <n v="0.33895146981582541"/>
  </r>
  <r>
    <x v="316"/>
    <s v="North"/>
    <s v="Printer"/>
    <s v="Eva"/>
    <n v="3"/>
    <n v="1256"/>
    <x v="1"/>
    <n v="3768"/>
    <n v="2888.9226680000002"/>
    <n v="879.07733169999995"/>
    <n v="0.23330077805201696"/>
  </r>
  <r>
    <x v="330"/>
    <s v="South"/>
    <s v="Tablet"/>
    <s v="Hannah"/>
    <n v="9"/>
    <n v="1178"/>
    <x v="2"/>
    <n v="10602"/>
    <n v="7057.4529409999996"/>
    <n v="3544.547059"/>
    <n v="0.33432815119788717"/>
  </r>
  <r>
    <x v="254"/>
    <s v="South"/>
    <s v="Unknown"/>
    <s v="Hannah"/>
    <n v="2"/>
    <n v="160"/>
    <x v="2"/>
    <n v="320"/>
    <n v="211.77811199999999"/>
    <n v="108.22188800000001"/>
    <n v="0.33819340000000003"/>
  </r>
  <r>
    <x v="123"/>
    <s v="North"/>
    <s v="Printer"/>
    <s v="Alice"/>
    <n v="3"/>
    <n v="1980"/>
    <x v="1"/>
    <n v="5940"/>
    <n v="4536.4932250000002"/>
    <n v="1403.5067750000001"/>
    <n v="0.23628060185185187"/>
  </r>
  <r>
    <x v="325"/>
    <s v="West"/>
    <s v="Camera"/>
    <s v="Eva"/>
    <n v="14"/>
    <n v="1643"/>
    <x v="2"/>
    <n v="23002"/>
    <n v="16499.62644"/>
    <n v="6502.3735589999997"/>
    <n v="0.28268731236414224"/>
  </r>
  <r>
    <x v="189"/>
    <s v="East"/>
    <s v="Headphones"/>
    <s v="Alice"/>
    <n v="4"/>
    <n v="371"/>
    <x v="0"/>
    <n v="1484"/>
    <n v="1145.496607"/>
    <n v="338.50339250000002"/>
    <n v="0.22810201650943399"/>
  </r>
  <r>
    <x v="168"/>
    <s v="East"/>
    <s v="Monitor"/>
    <s v="Eva"/>
    <n v="19"/>
    <n v="345"/>
    <x v="1"/>
    <n v="6555"/>
    <n v="5893.2572209999998"/>
    <n v="661.74277849999999"/>
    <n v="0.10095236895499618"/>
  </r>
  <r>
    <x v="304"/>
    <s v="East"/>
    <s v="Monitor"/>
    <s v="Frank"/>
    <n v="13"/>
    <n v="1299"/>
    <x v="1"/>
    <n v="16887"/>
    <n v="14484.07187"/>
    <n v="2402.928128"/>
    <n v="0.14229455368034583"/>
  </r>
  <r>
    <x v="332"/>
    <s v="West"/>
    <s v="Tablet"/>
    <s v="Frank"/>
    <n v="7"/>
    <n v="727"/>
    <x v="2"/>
    <n v="5089"/>
    <n v="3065.1110090000002"/>
    <n v="2023.888991"/>
    <n v="0.3976987602672431"/>
  </r>
  <r>
    <x v="52"/>
    <s v="South"/>
    <s v="Laptop"/>
    <s v="David"/>
    <n v="3"/>
    <n v="1906"/>
    <x v="2"/>
    <n v="5718"/>
    <n v="4477.3302720000002"/>
    <n v="1240.6697280000001"/>
    <n v="0.21697616789087096"/>
  </r>
  <r>
    <x v="360"/>
    <s v="North"/>
    <s v="Printer"/>
    <s v="Frank"/>
    <n v="9"/>
    <n v="804"/>
    <x v="1"/>
    <n v="7236"/>
    <n v="5701.076701"/>
    <n v="1534.923299"/>
    <n v="0.21212317564953012"/>
  </r>
  <r>
    <x v="263"/>
    <s v="West"/>
    <s v="Laptop"/>
    <s v="David"/>
    <n v="2"/>
    <n v="761"/>
    <x v="2"/>
    <n v="1522"/>
    <n v="1314.1819390000001"/>
    <n v="207.8180606"/>
    <n v="0.13654274678055189"/>
  </r>
  <r>
    <x v="336"/>
    <s v="South"/>
    <s v="Camera"/>
    <s v="Charlie"/>
    <n v="9"/>
    <n v="1254"/>
    <x v="2"/>
    <n v="11286"/>
    <n v="8901.461781"/>
    <n v="2384.538219"/>
    <n v="0.21128284768740033"/>
  </r>
  <r>
    <x v="150"/>
    <s v="West"/>
    <s v="Laptop"/>
    <s v="Hannah"/>
    <n v="12"/>
    <n v="1225"/>
    <x v="2"/>
    <n v="14700"/>
    <n v="9824.2211150000003"/>
    <n v="4875.7788849999997"/>
    <n v="0.33168563843537413"/>
  </r>
  <r>
    <x v="122"/>
    <s v="North"/>
    <s v="Tablet"/>
    <s v="Alice"/>
    <n v="12"/>
    <n v="409"/>
    <x v="2"/>
    <n v="4908"/>
    <n v="3634.643294"/>
    <n v="1273.356706"/>
    <n v="0.25944513162184191"/>
  </r>
  <r>
    <x v="197"/>
    <s v="East"/>
    <s v="Tablet"/>
    <s v="Grace"/>
    <n v="15"/>
    <n v="1905"/>
    <x v="2"/>
    <n v="28575"/>
    <n v="24080.02735"/>
    <n v="4494.9726529999998"/>
    <n v="0.15730437980752404"/>
  </r>
  <r>
    <x v="212"/>
    <s v="West"/>
    <s v="Mobile"/>
    <s v="Frank"/>
    <n v="2"/>
    <n v="1415"/>
    <x v="2"/>
    <n v="2830"/>
    <n v="2481.4783950000001"/>
    <n v="348.52160509999999"/>
    <n v="0.12315251063604239"/>
  </r>
  <r>
    <x v="146"/>
    <s v="South"/>
    <s v="Monitor"/>
    <s v="Bob"/>
    <n v="18"/>
    <n v="1845"/>
    <x v="1"/>
    <n v="33210"/>
    <n v="22286.385330000001"/>
    <n v="10923.614670000001"/>
    <n v="0.32892546431797653"/>
  </r>
  <r>
    <x v="137"/>
    <s v="South"/>
    <s v="Printer"/>
    <s v="Charlie"/>
    <n v="13"/>
    <n v="594"/>
    <x v="1"/>
    <n v="7722"/>
    <n v="5883.248329"/>
    <n v="1838.751671"/>
    <n v="0.23811857951307952"/>
  </r>
  <r>
    <x v="196"/>
    <s v="North"/>
    <s v="Mobile"/>
    <s v="David"/>
    <n v="14"/>
    <n v="1484"/>
    <x v="2"/>
    <n v="20776"/>
    <n v="13456.163629999999"/>
    <n v="7319.8363650000001"/>
    <n v="0.35232173493453983"/>
  </r>
  <r>
    <x v="12"/>
    <s v="East"/>
    <s v="Laptop"/>
    <s v="Frank"/>
    <n v="5"/>
    <n v="437"/>
    <x v="2"/>
    <n v="2185"/>
    <n v="1636.7833029999999"/>
    <n v="548.21669740000004"/>
    <n v="0.25090009034324945"/>
  </r>
  <r>
    <x v="206"/>
    <s v="North"/>
    <s v="Smartwatch"/>
    <s v="Alice"/>
    <n v="10"/>
    <n v="678"/>
    <x v="0"/>
    <n v="6780"/>
    <n v="4251.2921219999998"/>
    <n v="2528.7078780000002"/>
    <n v="0.37296576371681417"/>
  </r>
  <r>
    <x v="225"/>
    <s v="North"/>
    <s v="Mobile"/>
    <s v="Grace"/>
    <n v="12"/>
    <n v="109"/>
    <x v="2"/>
    <n v="1308"/>
    <n v="1154.3340949999999"/>
    <n v="153.66590540000001"/>
    <n v="0.11748157905198778"/>
  </r>
  <r>
    <x v="30"/>
    <s v="West"/>
    <s v="Mobile"/>
    <s v="Eva"/>
    <n v="10"/>
    <n v="148"/>
    <x v="2"/>
    <n v="1480"/>
    <n v="1171.297067"/>
    <n v="308.70293249999997"/>
    <n v="0.20858306249999997"/>
  </r>
  <r>
    <x v="17"/>
    <s v="West"/>
    <s v="Tablet"/>
    <s v="Grace"/>
    <n v="11"/>
    <n v="1610"/>
    <x v="2"/>
    <n v="17710"/>
    <n v="15164.45355"/>
    <n v="2545.5464510000002"/>
    <n v="0.14373497747035574"/>
  </r>
  <r>
    <x v="191"/>
    <s v="North"/>
    <s v="Smartwatch"/>
    <s v="Bob"/>
    <n v="2"/>
    <n v="722"/>
    <x v="0"/>
    <n v="1444"/>
    <n v="1298.8614689999999"/>
    <n v="145.1385305"/>
    <n v="0.10051144771468144"/>
  </r>
  <r>
    <x v="88"/>
    <s v="East"/>
    <s v="Camera"/>
    <s v="David"/>
    <n v="5"/>
    <n v="1444"/>
    <x v="2"/>
    <n v="7220"/>
    <n v="4727.6545450000003"/>
    <n v="2492.3454550000001"/>
    <n v="0.34520020152354575"/>
  </r>
  <r>
    <x v="163"/>
    <s v="Unknown"/>
    <s v="Laptop"/>
    <s v="Charlie"/>
    <n v="7"/>
    <n v="830"/>
    <x v="2"/>
    <n v="5810"/>
    <n v="4695.8919720000004"/>
    <n v="1114.1080280000001"/>
    <n v="0.1917569755593804"/>
  </r>
  <r>
    <x v="283"/>
    <s v="North"/>
    <s v="Mobile"/>
    <s v="Grace"/>
    <n v="6"/>
    <n v="1692"/>
    <x v="2"/>
    <n v="10152"/>
    <n v="8792.6054559999993"/>
    <n v="1359.394544"/>
    <n v="0.13390411189913318"/>
  </r>
  <r>
    <x v="137"/>
    <s v="North"/>
    <s v="Smartwatch"/>
    <s v="Alice"/>
    <n v="3"/>
    <n v="894"/>
    <x v="0"/>
    <n v="2682"/>
    <n v="2072.5998490000002"/>
    <n v="609.4001505"/>
    <n v="0.22721854977628636"/>
  </r>
  <r>
    <x v="150"/>
    <s v="North"/>
    <s v="Monitor"/>
    <s v="Bob"/>
    <n v="13"/>
    <n v="1070"/>
    <x v="1"/>
    <n v="13910"/>
    <n v="11015.45299"/>
    <n v="2894.5470129999999"/>
    <n v="0.2080910864845435"/>
  </r>
  <r>
    <x v="238"/>
    <s v="North"/>
    <s v="Printer"/>
    <s v="Alice"/>
    <n v="3"/>
    <n v="1748"/>
    <x v="1"/>
    <n v="5244"/>
    <n v="3787.7481579999999"/>
    <n v="1456.2518419999999"/>
    <n v="0.27769867315026697"/>
  </r>
  <r>
    <x v="175"/>
    <s v="North"/>
    <s v="Smartwatch"/>
    <s v="Frank"/>
    <n v="6"/>
    <n v="232"/>
    <x v="0"/>
    <n v="1392"/>
    <n v="1116.9801239999999"/>
    <n v="275.01987580000002"/>
    <n v="0.19757174985632187"/>
  </r>
  <r>
    <x v="314"/>
    <s v="North"/>
    <s v="Monitor"/>
    <s v="Eva"/>
    <n v="11"/>
    <n v="1706"/>
    <x v="1"/>
    <n v="18766"/>
    <n v="13486.624540000001"/>
    <n v="5279.3754559999998"/>
    <n v="0.2813266255994884"/>
  </r>
  <r>
    <x v="118"/>
    <s v="West"/>
    <s v="Laptop"/>
    <s v="Charlie"/>
    <n v="17"/>
    <n v="182"/>
    <x v="2"/>
    <n v="3094"/>
    <n v="2298.7983479999998"/>
    <n v="795.2016519"/>
    <n v="0.25701410856496443"/>
  </r>
  <r>
    <x v="178"/>
    <s v="East"/>
    <s v="Smartwatch"/>
    <s v="Alice"/>
    <n v="10"/>
    <n v="156"/>
    <x v="0"/>
    <n v="1560"/>
    <n v="984.16269550000004"/>
    <n v="575.83730449999996"/>
    <n v="0.36912647724358971"/>
  </r>
  <r>
    <x v="351"/>
    <s v="North"/>
    <s v="Monitor"/>
    <s v="David"/>
    <n v="12"/>
    <n v="475"/>
    <x v="1"/>
    <n v="5700"/>
    <n v="3433.3523639999999"/>
    <n v="2266.6476360000001"/>
    <n v="0.39765748000000001"/>
  </r>
  <r>
    <x v="230"/>
    <s v="South"/>
    <s v="Smartwatch"/>
    <s v="Frank"/>
    <n v="17"/>
    <n v="448"/>
    <x v="0"/>
    <n v="7616"/>
    <n v="4695.6092879999997"/>
    <n v="2920.3907119999999"/>
    <n v="0.38345466281512602"/>
  </r>
  <r>
    <x v="114"/>
    <s v="West"/>
    <s v="Smartwatch"/>
    <s v="Frank"/>
    <n v="4"/>
    <n v="370"/>
    <x v="0"/>
    <n v="1480"/>
    <n v="973.47960860000001"/>
    <n v="506.52039139999999"/>
    <n v="0.34224350770270268"/>
  </r>
  <r>
    <x v="45"/>
    <s v="West"/>
    <s v="Printer"/>
    <s v="Charlie"/>
    <n v="2"/>
    <n v="1606"/>
    <x v="1"/>
    <n v="3212"/>
    <n v="2367.1834410000001"/>
    <n v="844.81655939999996"/>
    <n v="0.26301885410958903"/>
  </r>
  <r>
    <x v="153"/>
    <s v="North"/>
    <s v="Monitor"/>
    <s v="Frank"/>
    <n v="11"/>
    <n v="210"/>
    <x v="1"/>
    <n v="2310"/>
    <n v="1400.5488909999999"/>
    <n v="909.45110890000001"/>
    <n v="0.39370177874458873"/>
  </r>
  <r>
    <x v="353"/>
    <s v="West"/>
    <s v="Monitor"/>
    <s v="David"/>
    <n v="7"/>
    <n v="968"/>
    <x v="1"/>
    <n v="6776"/>
    <n v="4382.5879999999997"/>
    <n v="2393.4119999999998"/>
    <n v="0.35321900826446279"/>
  </r>
  <r>
    <x v="19"/>
    <s v="North"/>
    <s v="Mobile"/>
    <s v="Alice"/>
    <n v="2"/>
    <n v="986"/>
    <x v="2"/>
    <n v="1972"/>
    <n v="1645.502628"/>
    <n v="326.49737229999999"/>
    <n v="0.16556661881338741"/>
  </r>
  <r>
    <x v="196"/>
    <s v="East"/>
    <s v="Laptop"/>
    <s v="Charlie"/>
    <n v="18"/>
    <n v="175"/>
    <x v="2"/>
    <n v="3150"/>
    <n v="2610.247398"/>
    <n v="539.7526024"/>
    <n v="0.17135003250793651"/>
  </r>
  <r>
    <x v="263"/>
    <s v="East"/>
    <s v="Printer"/>
    <s v="Hannah"/>
    <n v="4"/>
    <n v="1281"/>
    <x v="1"/>
    <n v="5124"/>
    <n v="4288.3734039999999"/>
    <n v="835.62659559999997"/>
    <n v="0.16308091249024198"/>
  </r>
  <r>
    <x v="355"/>
    <s v="West"/>
    <s v="Smartwatch"/>
    <s v="Frank"/>
    <n v="8"/>
    <n v="1655"/>
    <x v="0"/>
    <n v="13240"/>
    <n v="11604.360629999999"/>
    <n v="1635.6393740000001"/>
    <n v="0.12353771706948641"/>
  </r>
  <r>
    <x v="23"/>
    <s v="West"/>
    <s v="Smartwatch"/>
    <s v="Frank"/>
    <n v="14"/>
    <n v="1766"/>
    <x v="0"/>
    <n v="24724"/>
    <n v="15717.57343"/>
    <n v="9006.4265730000006"/>
    <n v="0.36427869976541016"/>
  </r>
  <r>
    <x v="237"/>
    <s v="South"/>
    <s v="Mobile"/>
    <s v="David"/>
    <n v="12"/>
    <n v="428"/>
    <x v="2"/>
    <n v="5136"/>
    <n v="3332.965921"/>
    <n v="1803.034079"/>
    <n v="0.3510580371884735"/>
  </r>
  <r>
    <x v="342"/>
    <s v="West"/>
    <s v="Laptop"/>
    <s v="Eva"/>
    <n v="18"/>
    <n v="221"/>
    <x v="2"/>
    <n v="3978"/>
    <n v="2784.8628840000001"/>
    <n v="1193.1371160000001"/>
    <n v="0.29993391553544496"/>
  </r>
  <r>
    <x v="65"/>
    <s v="East"/>
    <s v="Printer"/>
    <s v="Grace"/>
    <n v="8"/>
    <n v="1290"/>
    <x v="1"/>
    <n v="10320"/>
    <n v="8592.8790919999992"/>
    <n v="1727.1209080000001"/>
    <n v="0.16735667713178295"/>
  </r>
  <r>
    <x v="19"/>
    <s v="East"/>
    <s v="Mobile"/>
    <s v="Frank"/>
    <n v="2"/>
    <n v="1021"/>
    <x v="2"/>
    <n v="2042"/>
    <n v="1423.756691"/>
    <n v="618.24330859999998"/>
    <n v="0.30276361831537707"/>
  </r>
  <r>
    <x v="31"/>
    <s v="North"/>
    <s v="Laptop"/>
    <s v="Hannah"/>
    <n v="15"/>
    <n v="741"/>
    <x v="2"/>
    <n v="11115"/>
    <n v="6961.2216340000004"/>
    <n v="4153.7783659999996"/>
    <n v="0.37370925470085464"/>
  </r>
  <r>
    <x v="249"/>
    <s v="East"/>
    <s v="Printer"/>
    <s v="Alice"/>
    <n v="9"/>
    <n v="1146"/>
    <x v="1"/>
    <n v="10314"/>
    <n v="8095.6030769999998"/>
    <n v="2218.3969229999998"/>
    <n v="0.21508599214659685"/>
  </r>
  <r>
    <x v="251"/>
    <s v="South"/>
    <s v="Smartwatch"/>
    <s v="Charlie"/>
    <n v="19"/>
    <n v="378"/>
    <x v="0"/>
    <n v="7182"/>
    <n v="4862.5425750000004"/>
    <n v="2319.4574250000001"/>
    <n v="0.32295425020885549"/>
  </r>
  <r>
    <x v="270"/>
    <s v="West"/>
    <s v="Laptop"/>
    <s v="Frank"/>
    <n v="8"/>
    <n v="862"/>
    <x v="2"/>
    <n v="6896"/>
    <n v="5236.4484279999997"/>
    <n v="1659.5515720000001"/>
    <n v="0.24065423027842228"/>
  </r>
  <r>
    <x v="306"/>
    <s v="North"/>
    <s v="Laptop"/>
    <s v="Bob"/>
    <n v="19"/>
    <n v="568"/>
    <x v="2"/>
    <n v="10792"/>
    <n v="9524.3825570000008"/>
    <n v="1267.6174430000001"/>
    <n v="0.11745899212379542"/>
  </r>
  <r>
    <x v="103"/>
    <s v="South"/>
    <s v="Camera"/>
    <s v="Charlie"/>
    <n v="5"/>
    <n v="1523"/>
    <x v="2"/>
    <n v="7615"/>
    <n v="5877.1440970000003"/>
    <n v="1737.8559029999999"/>
    <n v="0.22821482639527246"/>
  </r>
  <r>
    <x v="285"/>
    <s v="Unknown"/>
    <s v="Unknown"/>
    <s v="Grace"/>
    <n v="11"/>
    <n v="108"/>
    <x v="2"/>
    <n v="1188"/>
    <n v="1042.0545930000001"/>
    <n v="145.94540689999999"/>
    <n v="0.1228496691077441"/>
  </r>
  <r>
    <x v="120"/>
    <s v="North"/>
    <s v="Tablet"/>
    <s v="Eva"/>
    <n v="15"/>
    <n v="112"/>
    <x v="2"/>
    <n v="1680"/>
    <n v="1206.0915480000001"/>
    <n v="473.90845189999999"/>
    <n v="0.28208836422619049"/>
  </r>
  <r>
    <x v="96"/>
    <s v="East"/>
    <s v="Laptop"/>
    <s v="Hannah"/>
    <n v="8"/>
    <n v="1023"/>
    <x v="2"/>
    <n v="8184"/>
    <n v="6465.4042030000001"/>
    <n v="1718.5957969999999"/>
    <n v="0.20999459885141739"/>
  </r>
  <r>
    <x v="130"/>
    <s v="South"/>
    <s v="Tablet"/>
    <s v="Frank"/>
    <n v="19"/>
    <n v="1022"/>
    <x v="2"/>
    <n v="19418"/>
    <n v="16858.066650000001"/>
    <n v="2559.9333459999998"/>
    <n v="0.13183300782778865"/>
  </r>
  <r>
    <x v="361"/>
    <s v="Unknown"/>
    <s v="Smartwatch"/>
    <s v="David"/>
    <n v="8"/>
    <n v="1942"/>
    <x v="0"/>
    <n v="15536"/>
    <n v="12062.091259999999"/>
    <n v="3473.9087380000001"/>
    <n v="0.22360380651390319"/>
  </r>
  <r>
    <x v="207"/>
    <s v="North"/>
    <s v="Tablet"/>
    <s v="Bob"/>
    <n v="19"/>
    <n v="1955"/>
    <x v="2"/>
    <n v="37145"/>
    <n v="29139.12341"/>
    <n v="8005.876593"/>
    <n v="0.21553039690402476"/>
  </r>
  <r>
    <x v="216"/>
    <s v="North"/>
    <s v="Printer"/>
    <s v="Frank"/>
    <n v="18"/>
    <n v="1175"/>
    <x v="1"/>
    <n v="21150"/>
    <n v="17234.974149999998"/>
    <n v="3915.025854"/>
    <n v="0.18510760539007093"/>
  </r>
  <r>
    <x v="193"/>
    <s v="East"/>
    <s v="Smartwatch"/>
    <s v="Hannah"/>
    <n v="10"/>
    <n v="1332"/>
    <x v="0"/>
    <n v="13320"/>
    <n v="11516.902599999999"/>
    <n v="1803.0974020000001"/>
    <n v="0.13536767282282283"/>
  </r>
  <r>
    <x v="249"/>
    <s v="West"/>
    <s v="Smartwatch"/>
    <s v="Grace"/>
    <n v="7"/>
    <n v="1673"/>
    <x v="0"/>
    <n v="11711"/>
    <n v="7336.4030089999997"/>
    <n v="4374.5969910000003"/>
    <n v="0.37354598164119207"/>
  </r>
  <r>
    <x v="195"/>
    <s v="East"/>
    <s v="Tablet"/>
    <s v="Alice"/>
    <n v="9"/>
    <n v="1735"/>
    <x v="2"/>
    <n v="15615"/>
    <n v="10947.01778"/>
    <n v="4667.9822240000003"/>
    <n v="0.2989421853346142"/>
  </r>
  <r>
    <x v="172"/>
    <s v="East"/>
    <s v="Monitor"/>
    <s v="Bob"/>
    <n v="1"/>
    <n v="1828"/>
    <x v="1"/>
    <n v="1828"/>
    <n v="1314.890304"/>
    <n v="513.10969620000003"/>
    <n v="0.280694582166302"/>
  </r>
  <r>
    <x v="168"/>
    <s v="West"/>
    <s v="Mobile"/>
    <s v="Grace"/>
    <n v="19"/>
    <n v="1525"/>
    <x v="2"/>
    <n v="28975"/>
    <n v="25292.651269999998"/>
    <n v="3682.3487340000001"/>
    <n v="0.12708710039689389"/>
  </r>
  <r>
    <x v="2"/>
    <s v="West"/>
    <s v="Unknown"/>
    <s v="Frank"/>
    <n v="5"/>
    <n v="1314"/>
    <x v="0"/>
    <n v="6570"/>
    <n v="5826.2916189999996"/>
    <n v="743.70838079999999"/>
    <n v="0.11319762264840183"/>
  </r>
  <r>
    <x v="249"/>
    <s v="Unknown"/>
    <s v="Monitor"/>
    <s v="unknown"/>
    <n v="19"/>
    <n v="1174"/>
    <x v="1"/>
    <n v="22306"/>
    <n v="14189.161990000001"/>
    <n v="8116.8380070000003"/>
    <n v="0.36388586062046085"/>
  </r>
  <r>
    <x v="78"/>
    <s v="South"/>
    <s v="Laptop"/>
    <s v="Bob"/>
    <n v="1"/>
    <n v="1516"/>
    <x v="2"/>
    <n v="1516"/>
    <n v="963.77017279999995"/>
    <n v="552.22982720000005"/>
    <n v="0.36426769604221637"/>
  </r>
  <r>
    <x v="209"/>
    <s v="North"/>
    <s v="Headphones"/>
    <s v="Alice"/>
    <n v="16"/>
    <n v="1803"/>
    <x v="0"/>
    <n v="28848"/>
    <n v="19868.528340000001"/>
    <n v="8979.4716570000001"/>
    <n v="0.3112684295965058"/>
  </r>
  <r>
    <x v="31"/>
    <s v="South"/>
    <s v="Monitor"/>
    <s v="Bob"/>
    <n v="12"/>
    <n v="720"/>
    <x v="1"/>
    <n v="8640"/>
    <n v="5276.334468"/>
    <n v="3363.665532"/>
    <n v="0.3893131402777778"/>
  </r>
  <r>
    <x v="274"/>
    <s v="West"/>
    <s v="Monitor"/>
    <s v="Alice"/>
    <n v="8"/>
    <n v="1842"/>
    <x v="1"/>
    <n v="14736"/>
    <n v="10059.95451"/>
    <n v="4676.0454920000002"/>
    <n v="0.31732121959826276"/>
  </r>
  <r>
    <x v="23"/>
    <s v="South"/>
    <s v="Laptop"/>
    <s v="Grace"/>
    <n v="5"/>
    <n v="1423"/>
    <x v="2"/>
    <n v="7115"/>
    <n v="5749.3321589999996"/>
    <n v="1365.667841"/>
    <n v="0.19194207182009837"/>
  </r>
  <r>
    <x v="192"/>
    <s v="West"/>
    <s v="Smartwatch"/>
    <s v="Hannah"/>
    <n v="10"/>
    <n v="1745"/>
    <x v="0"/>
    <n v="17450"/>
    <n v="12700.29931"/>
    <n v="4749.7006879999999"/>
    <n v="0.27218915117478509"/>
  </r>
  <r>
    <x v="186"/>
    <s v="Unknown"/>
    <s v="Laptop"/>
    <s v="Eva"/>
    <n v="5"/>
    <n v="295"/>
    <x v="2"/>
    <n v="1475"/>
    <n v="1113.7151309999999"/>
    <n v="361.28486939999999"/>
    <n v="0.24493889450847456"/>
  </r>
  <r>
    <x v="264"/>
    <s v="East"/>
    <s v="Camera"/>
    <s v="Bob"/>
    <n v="17"/>
    <n v="516"/>
    <x v="2"/>
    <n v="8772"/>
    <n v="7677.155092"/>
    <n v="1094.844908"/>
    <n v="0.12481132102143183"/>
  </r>
  <r>
    <x v="25"/>
    <s v="East"/>
    <s v="Monitor"/>
    <s v="Frank"/>
    <n v="5"/>
    <n v="763"/>
    <x v="1"/>
    <n v="3815"/>
    <n v="2420.2624559999999"/>
    <n v="1394.7375440000001"/>
    <n v="0.3655930652686763"/>
  </r>
  <r>
    <x v="49"/>
    <s v="North"/>
    <s v="Laptop"/>
    <s v="Charlie"/>
    <n v="15"/>
    <n v="1543"/>
    <x v="2"/>
    <n v="23145"/>
    <n v="14381.65991"/>
    <n v="8763.3400939999992"/>
    <n v="0.37862778543961978"/>
  </r>
  <r>
    <x v="6"/>
    <s v="North"/>
    <s v="Tablet"/>
    <s v="David"/>
    <n v="13"/>
    <n v="1878"/>
    <x v="2"/>
    <n v="24414"/>
    <n v="20888.11119"/>
    <n v="3525.8888069999998"/>
    <n v="0.14442077525190464"/>
  </r>
  <r>
    <x v="295"/>
    <s v="West"/>
    <s v="Headphones"/>
    <s v="Alice"/>
    <n v="1"/>
    <n v="1763"/>
    <x v="0"/>
    <n v="1763"/>
    <n v="1467.6212310000001"/>
    <n v="295.37876870000002"/>
    <n v="0.16754326074872378"/>
  </r>
  <r>
    <x v="253"/>
    <s v="East"/>
    <s v="Tablet"/>
    <s v="Alice"/>
    <n v="11"/>
    <n v="1740"/>
    <x v="2"/>
    <n v="19140"/>
    <n v="12998.361699999999"/>
    <n v="6141.6382990000002"/>
    <n v="0.32087974393939395"/>
  </r>
  <r>
    <x v="274"/>
    <s v="South"/>
    <s v="Camera"/>
    <s v="David"/>
    <n v="1"/>
    <n v="1645"/>
    <x v="2"/>
    <n v="1645"/>
    <n v="1147.0095409999999"/>
    <n v="497.99045860000001"/>
    <n v="0.3027297620668693"/>
  </r>
  <r>
    <x v="231"/>
    <s v="South"/>
    <s v="Unknown"/>
    <s v="Eva"/>
    <n v="11"/>
    <n v="1479"/>
    <x v="2"/>
    <n v="16269"/>
    <n v="11275.77303"/>
    <n v="4993.2269669999996"/>
    <n v="0.30691664927162082"/>
  </r>
  <r>
    <x v="164"/>
    <s v="South"/>
    <s v="Printer"/>
    <s v="David"/>
    <n v="18"/>
    <n v="247"/>
    <x v="1"/>
    <n v="4446"/>
    <n v="3531.647375"/>
    <n v="914.35262520000003"/>
    <n v="0.20565736059379219"/>
  </r>
  <r>
    <x v="105"/>
    <s v="North"/>
    <s v="Camera"/>
    <s v="Bob"/>
    <n v="18"/>
    <n v="1100"/>
    <x v="2"/>
    <n v="19800"/>
    <n v="12243.59635"/>
    <n v="7556.4036480000004"/>
    <n v="0.38163654787878792"/>
  </r>
  <r>
    <x v="207"/>
    <s v="South"/>
    <s v="Smartwatch"/>
    <s v="David"/>
    <n v="16"/>
    <n v="1488"/>
    <x v="0"/>
    <n v="23808"/>
    <n v="17780.301879999999"/>
    <n v="6027.6981169999999"/>
    <n v="0.25317952440356184"/>
  </r>
  <r>
    <x v="63"/>
    <s v="North"/>
    <s v="Tablet"/>
    <s v="David"/>
    <n v="7"/>
    <n v="1775"/>
    <x v="2"/>
    <n v="12425"/>
    <n v="10510.575409999999"/>
    <n v="1914.424589"/>
    <n v="0.15407843774647886"/>
  </r>
  <r>
    <x v="36"/>
    <s v="South"/>
    <s v="Laptop"/>
    <s v="Frank"/>
    <n v="16"/>
    <n v="501"/>
    <x v="2"/>
    <n v="8016"/>
    <n v="6078.3056100000003"/>
    <n v="1937.6943900000001"/>
    <n v="0.24172834206586827"/>
  </r>
  <r>
    <x v="205"/>
    <s v="South"/>
    <s v="Smartwatch"/>
    <s v="Bob"/>
    <n v="1"/>
    <n v="705"/>
    <x v="0"/>
    <n v="705"/>
    <n v="429.2006743"/>
    <n v="275.7993257"/>
    <n v="0.39120471730496453"/>
  </r>
  <r>
    <x v="75"/>
    <s v="East"/>
    <s v="Printer"/>
    <s v="David"/>
    <n v="17"/>
    <n v="1615"/>
    <x v="1"/>
    <n v="27455"/>
    <n v="16952.89402"/>
    <n v="10502.10598"/>
    <n v="0.38252070588235293"/>
  </r>
  <r>
    <x v="41"/>
    <s v="East"/>
    <s v="Tablet"/>
    <s v="Grace"/>
    <n v="2"/>
    <n v="1698"/>
    <x v="2"/>
    <n v="3396"/>
    <n v="2818.7858310000001"/>
    <n v="577.21416859999999"/>
    <n v="0.16996883645465252"/>
  </r>
  <r>
    <x v="2"/>
    <s v="West"/>
    <s v="Smartwatch"/>
    <s v="Frank"/>
    <n v="17"/>
    <n v="1975"/>
    <x v="0"/>
    <n v="33575"/>
    <n v="27296.833429999999"/>
    <n v="6278.1665739999999"/>
    <n v="0.18698932461653014"/>
  </r>
  <r>
    <x v="72"/>
    <s v="South"/>
    <s v="Camera"/>
    <s v="Bob"/>
    <n v="6"/>
    <n v="636"/>
    <x v="2"/>
    <n v="3816"/>
    <n v="3133.3389350000002"/>
    <n v="682.66106500000001"/>
    <n v="0.17889440906708595"/>
  </r>
  <r>
    <x v="192"/>
    <s v="North"/>
    <s v="Camera"/>
    <s v="Alice"/>
    <n v="14"/>
    <n v="367"/>
    <x v="2"/>
    <n v="5138"/>
    <n v="3244.0610379999998"/>
    <n v="1893.9389619999999"/>
    <n v="0.36861404476449977"/>
  </r>
  <r>
    <x v="4"/>
    <s v="North"/>
    <s v="Laptop"/>
    <s v="Eva"/>
    <n v="18"/>
    <n v="1528"/>
    <x v="2"/>
    <n v="27504"/>
    <n v="22224.201580000001"/>
    <n v="5279.7984200000001"/>
    <n v="0.19196474767306573"/>
  </r>
  <r>
    <x v="175"/>
    <s v="North"/>
    <s v="Monitor"/>
    <s v="Charlie"/>
    <n v="6"/>
    <n v="1916"/>
    <x v="1"/>
    <n v="11496"/>
    <n v="7524.4110629999996"/>
    <n v="3971.588937"/>
    <n v="0.34547572520876829"/>
  </r>
  <r>
    <x v="236"/>
    <s v="North"/>
    <s v="Mobile"/>
    <s v="Hannah"/>
    <n v="10"/>
    <n v="1134"/>
    <x v="2"/>
    <n v="11340"/>
    <n v="7137.4484990000001"/>
    <n v="4202.5515009999999"/>
    <n v="0.37059537045855379"/>
  </r>
  <r>
    <x v="266"/>
    <s v="North"/>
    <s v="Tablet"/>
    <s v="Eva"/>
    <n v="18"/>
    <n v="1443"/>
    <x v="2"/>
    <n v="25974"/>
    <n v="21484.348620000001"/>
    <n v="4489.6513770000001"/>
    <n v="0.17285175086625088"/>
  </r>
  <r>
    <x v="15"/>
    <s v="East"/>
    <s v="Monitor"/>
    <s v="Hannah"/>
    <n v="9"/>
    <n v="1836"/>
    <x v="1"/>
    <n v="16524"/>
    <n v="14323.364"/>
    <n v="2200.635996"/>
    <n v="0.13317816485112563"/>
  </r>
  <r>
    <x v="301"/>
    <s v="West"/>
    <s v="Monitor"/>
    <s v="Charlie"/>
    <n v="8"/>
    <n v="225"/>
    <x v="1"/>
    <n v="1800"/>
    <n v="1467.0233499999999"/>
    <n v="332.97665000000001"/>
    <n v="0.18498702777777778"/>
  </r>
  <r>
    <x v="361"/>
    <s v="South"/>
    <s v="Mobile"/>
    <s v="David"/>
    <n v="10"/>
    <n v="405"/>
    <x v="2"/>
    <n v="4050"/>
    <n v="3408.771745"/>
    <n v="641.22825479999995"/>
    <n v="0.15832796414814815"/>
  </r>
  <r>
    <x v="192"/>
    <s v="East"/>
    <s v="Monitor"/>
    <s v="Bob"/>
    <n v="17"/>
    <n v="1825"/>
    <x v="1"/>
    <n v="31025"/>
    <n v="27839.553"/>
    <n v="3185.4469960000001"/>
    <n v="0.10267355345688961"/>
  </r>
  <r>
    <x v="208"/>
    <s v="West"/>
    <s v="Monitor"/>
    <s v="David"/>
    <n v="6"/>
    <n v="1634"/>
    <x v="1"/>
    <n v="9804"/>
    <n v="6278.744087"/>
    <n v="3525.255913"/>
    <n v="0.3595732265401877"/>
  </r>
  <r>
    <x v="54"/>
    <s v="North"/>
    <s v="Camera"/>
    <s v="Charlie"/>
    <n v="14"/>
    <n v="1212"/>
    <x v="2"/>
    <n v="16968"/>
    <n v="15093.812550000001"/>
    <n v="1874.187447"/>
    <n v="0.11045423426449788"/>
  </r>
  <r>
    <x v="166"/>
    <s v="West"/>
    <s v="Camera"/>
    <s v="Charlie"/>
    <n v="6"/>
    <n v="1478"/>
    <x v="2"/>
    <n v="8868"/>
    <n v="6920.2266419999996"/>
    <n v="1947.7733579999999"/>
    <n v="0.21964065832205681"/>
  </r>
  <r>
    <x v="1"/>
    <s v="West"/>
    <s v="Headphones"/>
    <s v="Charlie"/>
    <n v="7"/>
    <n v="727"/>
    <x v="0"/>
    <n v="5089"/>
    <n v="4294.9935949999999"/>
    <n v="794.00640469999996"/>
    <n v="0.15602405280015719"/>
  </r>
  <r>
    <x v="200"/>
    <s v="North"/>
    <s v="Printer"/>
    <s v="Hannah"/>
    <n v="12"/>
    <n v="1475"/>
    <x v="1"/>
    <n v="17700"/>
    <n v="14072.398349999999"/>
    <n v="3627.6016460000001"/>
    <n v="0.20494924553672317"/>
  </r>
  <r>
    <x v="362"/>
    <s v="North"/>
    <s v="Laptop"/>
    <s v="Frank"/>
    <n v="3"/>
    <n v="788"/>
    <x v="2"/>
    <n v="2364"/>
    <n v="1822.6708000000001"/>
    <n v="541.32920019999995"/>
    <n v="0.22898866336717424"/>
  </r>
  <r>
    <x v="43"/>
    <s v="North"/>
    <s v="Monitor"/>
    <s v="Alice"/>
    <n v="14"/>
    <n v="1137"/>
    <x v="1"/>
    <n v="15918"/>
    <n v="12910.862139999999"/>
    <n v="3007.1378559999998"/>
    <n v="0.18891430179670812"/>
  </r>
  <r>
    <x v="197"/>
    <s v="South"/>
    <s v="Headphones"/>
    <s v="Bob"/>
    <n v="19"/>
    <n v="1380"/>
    <x v="0"/>
    <n v="26220"/>
    <n v="18251.15466"/>
    <n v="7968.8453449999997"/>
    <n v="0.30392240064836001"/>
  </r>
  <r>
    <x v="79"/>
    <s v="North"/>
    <s v="Printer"/>
    <s v="David"/>
    <n v="16"/>
    <n v="1332"/>
    <x v="1"/>
    <n v="21312"/>
    <n v="18696.62241"/>
    <n v="2615.3775869999999"/>
    <n v="0.12271854293355855"/>
  </r>
  <r>
    <x v="181"/>
    <s v="South"/>
    <s v="Headphones"/>
    <s v="David"/>
    <n v="7"/>
    <n v="380"/>
    <x v="0"/>
    <n v="2660"/>
    <n v="1688.003473"/>
    <n v="971.99652749999996"/>
    <n v="0.3654122283834586"/>
  </r>
  <r>
    <x v="118"/>
    <s v="North"/>
    <s v="Headphones"/>
    <s v="Eva"/>
    <n v="8"/>
    <n v="542"/>
    <x v="0"/>
    <n v="4336"/>
    <n v="3015.2949640000002"/>
    <n v="1320.7050360000001"/>
    <n v="0.30459064483394838"/>
  </r>
  <r>
    <x v="52"/>
    <s v="South"/>
    <s v="Laptop"/>
    <s v="Hannah"/>
    <n v="18"/>
    <n v="1963"/>
    <x v="2"/>
    <n v="35334"/>
    <n v="21530.727180000002"/>
    <n v="13803.27282"/>
    <n v="0.39065129393785025"/>
  </r>
  <r>
    <x v="213"/>
    <s v="West"/>
    <s v="Laptop"/>
    <s v="unknown"/>
    <n v="13"/>
    <n v="936"/>
    <x v="2"/>
    <n v="12168"/>
    <n v="8291.2376530000001"/>
    <n v="3876.7623469999999"/>
    <n v="0.31860308571663376"/>
  </r>
  <r>
    <x v="25"/>
    <s v="East"/>
    <s v="Smartwatch"/>
    <s v="Grace"/>
    <n v="9"/>
    <n v="488"/>
    <x v="0"/>
    <n v="4392"/>
    <n v="2922.7175499999998"/>
    <n v="1469.2824499999999"/>
    <n v="0.33453607695810561"/>
  </r>
  <r>
    <x v="48"/>
    <s v="West"/>
    <s v="Mobile"/>
    <s v="Charlie"/>
    <n v="10"/>
    <n v="716"/>
    <x v="2"/>
    <n v="7160"/>
    <n v="4402.6070890000001"/>
    <n v="2757.3929109999999"/>
    <n v="0.3851107417597765"/>
  </r>
  <r>
    <x v="302"/>
    <s v="West"/>
    <s v="Mobile"/>
    <s v="Charlie"/>
    <n v="9"/>
    <n v="1606"/>
    <x v="2"/>
    <n v="14454"/>
    <n v="10804.8307"/>
    <n v="3649.169304"/>
    <n v="0.25246778082191779"/>
  </r>
  <r>
    <x v="83"/>
    <s v="North"/>
    <s v="Smartwatch"/>
    <s v="Grace"/>
    <n v="15"/>
    <n v="246"/>
    <x v="0"/>
    <n v="3690"/>
    <n v="2732.7800980000002"/>
    <n v="957.21990170000004"/>
    <n v="0.25940918745257452"/>
  </r>
  <r>
    <x v="317"/>
    <s v="South"/>
    <s v="Laptop"/>
    <s v="David"/>
    <n v="2"/>
    <n v="1402"/>
    <x v="0"/>
    <n v="2804"/>
    <n v="1747.799467"/>
    <n v="1056.200533"/>
    <n v="0.37667636697574891"/>
  </r>
  <r>
    <x v="238"/>
    <s v="East"/>
    <s v="Camera"/>
    <s v="Eva"/>
    <n v="13"/>
    <n v="620"/>
    <x v="2"/>
    <n v="8060"/>
    <n v="5469.1545850000002"/>
    <n v="2590.8454149999998"/>
    <n v="0.32144484057071959"/>
  </r>
  <r>
    <x v="102"/>
    <s v="North"/>
    <s v="Printer"/>
    <s v="Alice"/>
    <n v="2"/>
    <n v="729"/>
    <x v="1"/>
    <n v="1458"/>
    <n v="1291.783113"/>
    <n v="166.21688700000001"/>
    <n v="0.11400335185185186"/>
  </r>
  <r>
    <x v="240"/>
    <s v="North"/>
    <s v="Headphones"/>
    <s v="Grace"/>
    <n v="19"/>
    <n v="1729"/>
    <x v="0"/>
    <n v="32851"/>
    <n v="20801.942660000001"/>
    <n v="12049.057339999999"/>
    <n v="0.36677901251103467"/>
  </r>
  <r>
    <x v="17"/>
    <s v="North"/>
    <s v="Monitor"/>
    <s v="Hannah"/>
    <n v="2"/>
    <n v="533"/>
    <x v="1"/>
    <n v="1066"/>
    <n v="737.14496389999999"/>
    <n v="328.85503610000001"/>
    <n v="0.30849440534709194"/>
  </r>
  <r>
    <x v="4"/>
    <s v="West"/>
    <s v="Smartwatch"/>
    <s v="Frank"/>
    <n v="3"/>
    <n v="243"/>
    <x v="0"/>
    <n v="729"/>
    <n v="445.24310650000001"/>
    <n v="283.75689349999999"/>
    <n v="0.389241280521262"/>
  </r>
  <r>
    <x v="354"/>
    <s v="South"/>
    <s v="Tablet"/>
    <s v="Bob"/>
    <n v="6"/>
    <n v="388"/>
    <x v="2"/>
    <n v="2328"/>
    <n v="1500.7828219999999"/>
    <n v="827.21717769999998"/>
    <n v="0.35533383921821304"/>
  </r>
  <r>
    <x v="312"/>
    <s v="South"/>
    <s v="Mobile"/>
    <s v="Hannah"/>
    <n v="3"/>
    <n v="1509"/>
    <x v="2"/>
    <n v="4527"/>
    <n v="3666.0512119999999"/>
    <n v="860.94878840000001"/>
    <n v="0.19018086777115087"/>
  </r>
  <r>
    <x v="350"/>
    <s v="East"/>
    <s v="Smartwatch"/>
    <s v="Grace"/>
    <n v="10"/>
    <n v="113"/>
    <x v="0"/>
    <n v="1130"/>
    <n v="802.31689370000004"/>
    <n v="327.68310630000002"/>
    <n v="0.28998504982300888"/>
  </r>
  <r>
    <x v="4"/>
    <s v="South"/>
    <s v="Unknown"/>
    <s v="Alice"/>
    <n v="6"/>
    <n v="356"/>
    <x v="2"/>
    <n v="2136"/>
    <n v="1571.2906660000001"/>
    <n v="564.70933349999996"/>
    <n v="0.26437702879213482"/>
  </r>
  <r>
    <x v="20"/>
    <s v="South"/>
    <s v="Tablet"/>
    <s v="David"/>
    <n v="16"/>
    <n v="1469"/>
    <x v="2"/>
    <n v="23504"/>
    <n v="15209.28606"/>
    <n v="8294.7139399999996"/>
    <n v="0.35290648144996595"/>
  </r>
  <r>
    <x v="41"/>
    <s v="North"/>
    <s v="Tablet"/>
    <s v="Frank"/>
    <n v="17"/>
    <n v="1821"/>
    <x v="2"/>
    <n v="30957"/>
    <n v="24909.304"/>
    <n v="6047.6959999999999"/>
    <n v="0.19535794812158799"/>
  </r>
  <r>
    <x v="36"/>
    <s v="North"/>
    <s v="Camera"/>
    <s v="Frank"/>
    <n v="19"/>
    <n v="1468"/>
    <x v="2"/>
    <n v="27892"/>
    <n v="23023.632119999998"/>
    <n v="4868.3678760000003"/>
    <n v="0.17454352057937761"/>
  </r>
  <r>
    <x v="74"/>
    <s v="West"/>
    <s v="Camera"/>
    <s v="unknown"/>
    <n v="3"/>
    <n v="1523"/>
    <x v="2"/>
    <n v="4569"/>
    <n v="2989.6502860000001"/>
    <n v="1579.3497139999999"/>
    <n v="0.34566638520463994"/>
  </r>
  <r>
    <x v="182"/>
    <s v="North"/>
    <s v="Monitor"/>
    <s v="Charlie"/>
    <n v="18"/>
    <n v="1330"/>
    <x v="1"/>
    <n v="23940"/>
    <n v="14687.14306"/>
    <n v="9252.8569439999992"/>
    <n v="0.38650196090225558"/>
  </r>
  <r>
    <x v="201"/>
    <s v="North"/>
    <s v="Monitor"/>
    <s v="Bob"/>
    <n v="7"/>
    <n v="957"/>
    <x v="1"/>
    <n v="6699"/>
    <n v="4182.0673980000001"/>
    <n v="2516.9326019999999"/>
    <n v="0.37571765965069409"/>
  </r>
  <r>
    <x v="317"/>
    <s v="North"/>
    <s v="Tablet"/>
    <s v="David"/>
    <n v="9"/>
    <n v="1042"/>
    <x v="2"/>
    <n v="9378"/>
    <n v="7475.3325329999998"/>
    <n v="1902.667467"/>
    <n v="0.20288627287268074"/>
  </r>
  <r>
    <x v="347"/>
    <s v="North"/>
    <s v="Printer"/>
    <s v="David"/>
    <n v="12"/>
    <n v="1295"/>
    <x v="1"/>
    <n v="15540"/>
    <n v="9955.7504289999997"/>
    <n v="5584.2495710000003"/>
    <n v="0.35934681924066925"/>
  </r>
  <r>
    <x v="340"/>
    <s v="West"/>
    <s v="Camera"/>
    <s v="Frank"/>
    <n v="5"/>
    <n v="563"/>
    <x v="2"/>
    <n v="2815"/>
    <n v="2106.1144549999999"/>
    <n v="708.88554450000004"/>
    <n v="0.25182434973357015"/>
  </r>
  <r>
    <x v="80"/>
    <s v="North"/>
    <s v="Headphones"/>
    <s v="David"/>
    <n v="3"/>
    <n v="369"/>
    <x v="0"/>
    <n v="1107"/>
    <n v="714.89225239999996"/>
    <n v="392.10774759999998"/>
    <n v="0.35420754074074073"/>
  </r>
  <r>
    <x v="76"/>
    <s v="East"/>
    <s v="Tablet"/>
    <s v="Bob"/>
    <n v="11"/>
    <n v="1344"/>
    <x v="2"/>
    <n v="14784"/>
    <n v="9625.0406230000008"/>
    <n v="5158.9593770000001"/>
    <n v="0.34895558556547618"/>
  </r>
  <r>
    <x v="89"/>
    <s v="East"/>
    <s v="Headphones"/>
    <s v="Bob"/>
    <n v="4"/>
    <n v="1275"/>
    <x v="0"/>
    <n v="5100"/>
    <n v="3066.67157"/>
    <n v="2033.32843"/>
    <n v="0.39869184901960786"/>
  </r>
  <r>
    <x v="357"/>
    <s v="East"/>
    <s v="Headphones"/>
    <s v="Eva"/>
    <n v="5"/>
    <n v="722"/>
    <x v="0"/>
    <n v="3610"/>
    <n v="2513.4526689999998"/>
    <n v="1096.547331"/>
    <n v="0.30375272326869807"/>
  </r>
  <r>
    <x v="169"/>
    <s v="East"/>
    <s v="Tablet"/>
    <s v="Grace"/>
    <n v="1"/>
    <n v="1306"/>
    <x v="2"/>
    <n v="1306"/>
    <n v="818.78256880000004"/>
    <n v="487.21743120000002"/>
    <n v="0.37306082021439513"/>
  </r>
  <r>
    <x v="102"/>
    <s v="North"/>
    <s v="MOBLIE"/>
    <s v="Grace"/>
    <n v="18"/>
    <n v="1522"/>
    <x v="2"/>
    <n v="27396"/>
    <n v="19675.48893"/>
    <n v="7720.5110699999996"/>
    <n v="0.28181161738939992"/>
  </r>
  <r>
    <x v="113"/>
    <s v="East"/>
    <s v="Printer"/>
    <s v="Eva"/>
    <n v="12"/>
    <n v="1974"/>
    <x v="1"/>
    <n v="23688"/>
    <n v="18460.894420000001"/>
    <n v="5227.1055820000001"/>
    <n v="0.22066470710908478"/>
  </r>
  <r>
    <x v="10"/>
    <s v="North"/>
    <s v="Tablet"/>
    <s v="Alice"/>
    <n v="13"/>
    <n v="171"/>
    <x v="2"/>
    <n v="2223"/>
    <n v="1578.907056"/>
    <n v="644.09294390000002"/>
    <n v="0.28974041560953667"/>
  </r>
  <r>
    <x v="77"/>
    <s v="West"/>
    <s v="Monitor"/>
    <s v="unknown"/>
    <n v="9"/>
    <n v="1541"/>
    <x v="1"/>
    <n v="13869"/>
    <n v="11255.03314"/>
    <n v="2613.9668590000001"/>
    <n v="0.18847551077943617"/>
  </r>
  <r>
    <x v="247"/>
    <s v="East"/>
    <s v="Tablet"/>
    <s v="Bob"/>
    <n v="2"/>
    <n v="1406"/>
    <x v="2"/>
    <n v="2812"/>
    <n v="2312.6887120000001"/>
    <n v="499.31128849999999"/>
    <n v="0.1775644695945946"/>
  </r>
  <r>
    <x v="197"/>
    <s v="South"/>
    <s v="Camera"/>
    <s v="Bob"/>
    <n v="5"/>
    <n v="173"/>
    <x v="2"/>
    <n v="865"/>
    <n v="699.76935749999996"/>
    <n v="165.23064249999999"/>
    <n v="0.19101808381502888"/>
  </r>
  <r>
    <x v="123"/>
    <s v="East"/>
    <s v="Tablet"/>
    <s v="Grace"/>
    <n v="13"/>
    <n v="454"/>
    <x v="2"/>
    <n v="5902"/>
    <n v="5199.7450289999997"/>
    <n v="702.25497129999997"/>
    <n v="0.11898593210776008"/>
  </r>
  <r>
    <x v="297"/>
    <s v="East"/>
    <s v="Unknown"/>
    <s v="Bob"/>
    <n v="16"/>
    <n v="1850"/>
    <x v="2"/>
    <n v="29600"/>
    <n v="19867.173180000002"/>
    <n v="9732.8268200000002"/>
    <n v="0.32881171689189193"/>
  </r>
  <r>
    <x v="59"/>
    <s v="North"/>
    <s v="Camera"/>
    <s v="Eva"/>
    <n v="16"/>
    <n v="596"/>
    <x v="2"/>
    <n v="9536"/>
    <n v="6263.5970209999996"/>
    <n v="3272.402979"/>
    <n v="0.34316306407298658"/>
  </r>
  <r>
    <x v="126"/>
    <s v="East"/>
    <s v="Monitor"/>
    <s v="Frank"/>
    <n v="3"/>
    <n v="1451"/>
    <x v="1"/>
    <n v="4353"/>
    <n v="3408.022234"/>
    <n v="944.97776620000002"/>
    <n v="0.2170865532276591"/>
  </r>
  <r>
    <x v="165"/>
    <s v="North"/>
    <s v="Laptop"/>
    <s v="David"/>
    <n v="11"/>
    <n v="1658"/>
    <x v="2"/>
    <n v="18238"/>
    <n v="13733.75202"/>
    <n v="4504.247977"/>
    <n v="0.24697049989033884"/>
  </r>
  <r>
    <x v="21"/>
    <s v="North"/>
    <s v="Headphones"/>
    <s v="Hannah"/>
    <n v="14"/>
    <n v="679"/>
    <x v="0"/>
    <n v="9506"/>
    <n v="5716.0144319999999"/>
    <n v="3789.9855680000001"/>
    <n v="0.39869404249947404"/>
  </r>
  <r>
    <x v="64"/>
    <s v="West"/>
    <s v="Printer"/>
    <s v="Hannah"/>
    <n v="3"/>
    <n v="1009"/>
    <x v="1"/>
    <n v="3027"/>
    <n v="2320.4118370000001"/>
    <n v="706.58816339999998"/>
    <n v="0.23342853102081268"/>
  </r>
  <r>
    <x v="45"/>
    <s v="West"/>
    <s v="Headphones"/>
    <s v="Frank"/>
    <n v="16"/>
    <n v="1570"/>
    <x v="0"/>
    <n v="25120"/>
    <n v="22101.566159999998"/>
    <n v="3018.4338429999998"/>
    <n v="0.12016058292197451"/>
  </r>
  <r>
    <x v="337"/>
    <s v="East"/>
    <s v="Mobile"/>
    <s v="Charlie"/>
    <n v="15"/>
    <n v="472"/>
    <x v="2"/>
    <n v="7080"/>
    <n v="4958.6430120000005"/>
    <n v="2121.356988"/>
    <n v="0.29962669322033897"/>
  </r>
  <r>
    <x v="55"/>
    <s v="West"/>
    <s v="Smartwatch"/>
    <s v="Eva"/>
    <n v="10"/>
    <n v="461"/>
    <x v="0"/>
    <n v="4610"/>
    <n v="4104.1896839999999"/>
    <n v="505.81031560000002"/>
    <n v="0.1097202419956616"/>
  </r>
  <r>
    <x v="134"/>
    <s v="West"/>
    <s v="Monitor"/>
    <s v="Bob"/>
    <n v="9"/>
    <n v="192"/>
    <x v="1"/>
    <n v="1728"/>
    <n v="1221.7426620000001"/>
    <n v="506.25733750000001"/>
    <n v="0.29297299623842593"/>
  </r>
  <r>
    <x v="89"/>
    <s v="West"/>
    <s v="Printer"/>
    <s v="Grace"/>
    <n v="11"/>
    <n v="1444"/>
    <x v="1"/>
    <n v="15884"/>
    <n v="10196.83468"/>
    <n v="5687.1653249999999"/>
    <n v="0.35804364926970533"/>
  </r>
  <r>
    <x v="137"/>
    <s v="North"/>
    <s v="Monitor"/>
    <s v="Frank"/>
    <n v="16"/>
    <n v="423"/>
    <x v="1"/>
    <n v="6768"/>
    <n v="4869.7182940000002"/>
    <n v="1898.281706"/>
    <n v="0.28047897547281325"/>
  </r>
  <r>
    <x v="360"/>
    <s v="North"/>
    <s v="Laptop"/>
    <s v="Eva"/>
    <n v="10"/>
    <n v="483"/>
    <x v="2"/>
    <n v="4830"/>
    <n v="3614.6917920000001"/>
    <n v="1215.3082079999999"/>
    <n v="0.25161660621118009"/>
  </r>
  <r>
    <x v="136"/>
    <s v="North"/>
    <s v="Headphones"/>
    <s v="Frank"/>
    <n v="17"/>
    <n v="674"/>
    <x v="0"/>
    <n v="11458"/>
    <n v="9038.5209639999994"/>
    <n v="2419.4790360000002"/>
    <n v="0.21116067690696458"/>
  </r>
  <r>
    <x v="248"/>
    <s v="West"/>
    <s v="Monitor"/>
    <s v="Alice"/>
    <n v="19"/>
    <n v="835"/>
    <x v="1"/>
    <n v="15865"/>
    <n v="11921.96761"/>
    <n v="3943.0323880000001"/>
    <n v="0.24853655140245826"/>
  </r>
  <r>
    <x v="0"/>
    <s v="North"/>
    <s v="Laptop"/>
    <s v="Bob"/>
    <n v="2"/>
    <n v="836"/>
    <x v="2"/>
    <n v="1672"/>
    <n v="1272.418064"/>
    <n v="399.58193649999998"/>
    <n v="0.23898441178229665"/>
  </r>
  <r>
    <x v="183"/>
    <s v="West"/>
    <s v="Mobile"/>
    <s v="Alice"/>
    <n v="2"/>
    <n v="445"/>
    <x v="2"/>
    <n v="890"/>
    <n v="540.4258992"/>
    <n v="349.5741008"/>
    <n v="0.39277988853932583"/>
  </r>
  <r>
    <x v="317"/>
    <s v="North"/>
    <s v="Mobile"/>
    <s v="Bob"/>
    <n v="6"/>
    <n v="1972"/>
    <x v="2"/>
    <n v="11832"/>
    <n v="7999.4501520000003"/>
    <n v="3832.5498480000001"/>
    <n v="0.32391394929006084"/>
  </r>
  <r>
    <x v="108"/>
    <s v="North"/>
    <s v="Smartwatch"/>
    <s v="Eva"/>
    <n v="19"/>
    <n v="1226"/>
    <x v="0"/>
    <n v="23294"/>
    <n v="16147.61039"/>
    <n v="7146.389615"/>
    <n v="0.30679100261870007"/>
  </r>
  <r>
    <x v="265"/>
    <s v="South"/>
    <s v="Monitor"/>
    <s v="David"/>
    <n v="8"/>
    <n v="1338"/>
    <x v="1"/>
    <n v="10704"/>
    <n v="9592.1387130000003"/>
    <n v="1111.8612869999999"/>
    <n v="0.10387343862107623"/>
  </r>
  <r>
    <x v="208"/>
    <s v="East"/>
    <s v="Smartwatch"/>
    <s v="Frank"/>
    <n v="3"/>
    <n v="1315"/>
    <x v="0"/>
    <n v="3945"/>
    <n v="2716.8044180000002"/>
    <n v="1228.1955820000001"/>
    <n v="0.31132967858048166"/>
  </r>
  <r>
    <x v="7"/>
    <s v="West"/>
    <s v="Camera"/>
    <s v="Frank"/>
    <n v="14"/>
    <n v="1795"/>
    <x v="2"/>
    <n v="25130"/>
    <n v="21837.307939999999"/>
    <n v="3292.692059"/>
    <n v="0.13102634536410665"/>
  </r>
  <r>
    <x v="224"/>
    <s v="South"/>
    <s v="Printer"/>
    <s v="Charlie"/>
    <n v="16"/>
    <n v="818"/>
    <x v="1"/>
    <n v="13088"/>
    <n v="9049.3162179999999"/>
    <n v="4038.6837820000001"/>
    <n v="0.30857913982273838"/>
  </r>
  <r>
    <x v="57"/>
    <s v="North"/>
    <s v="Monitor"/>
    <s v="Grace"/>
    <n v="1"/>
    <n v="880"/>
    <x v="1"/>
    <n v="880"/>
    <n v="553.37312740000004"/>
    <n v="326.62687260000001"/>
    <n v="0.37116690068181818"/>
  </r>
  <r>
    <x v="229"/>
    <s v="West"/>
    <s v="Mobile"/>
    <s v="Alice"/>
    <n v="3"/>
    <n v="1119"/>
    <x v="2"/>
    <n v="3357"/>
    <n v="2263.5754830000001"/>
    <n v="1093.4245169999999"/>
    <n v="0.32571478016085786"/>
  </r>
  <r>
    <x v="194"/>
    <s v="East"/>
    <s v="Laptop"/>
    <s v="Eva"/>
    <n v="9"/>
    <n v="1503"/>
    <x v="2"/>
    <n v="13527"/>
    <n v="12086.03062"/>
    <n v="1440.9693810000001"/>
    <n v="0.10652542182302063"/>
  </r>
  <r>
    <x v="156"/>
    <s v="South"/>
    <s v="Tablet"/>
    <s v="David"/>
    <n v="6"/>
    <n v="1526"/>
    <x v="2"/>
    <n v="9156"/>
    <n v="7345.743907"/>
    <n v="1810.256093"/>
    <n v="0.19771254838357361"/>
  </r>
  <r>
    <x v="83"/>
    <s v="East"/>
    <s v="Smartwatch"/>
    <s v="Grace"/>
    <n v="1"/>
    <n v="763"/>
    <x v="0"/>
    <n v="763"/>
    <n v="671.06177990000003"/>
    <n v="91.938220099999995"/>
    <n v="0.12049570131061599"/>
  </r>
  <r>
    <x v="231"/>
    <s v="South"/>
    <s v="Tablet"/>
    <s v="Eva"/>
    <n v="10"/>
    <n v="1872"/>
    <x v="2"/>
    <n v="18720"/>
    <n v="15921.332039999999"/>
    <n v="2798.6679549999999"/>
    <n v="0.14950149332264956"/>
  </r>
  <r>
    <x v="322"/>
    <s v="North"/>
    <s v="Monitor"/>
    <s v="Alice"/>
    <n v="6"/>
    <n v="699"/>
    <x v="1"/>
    <n v="4194"/>
    <n v="3244.392621"/>
    <n v="949.60737900000004"/>
    <n v="0.22642045278969958"/>
  </r>
  <r>
    <x v="108"/>
    <s v="East"/>
    <s v="Headphones"/>
    <s v="Charlie"/>
    <n v="12"/>
    <n v="110"/>
    <x v="0"/>
    <n v="1320"/>
    <n v="1059.453618"/>
    <n v="260.54638199999999"/>
    <n v="0.19738362272727272"/>
  </r>
  <r>
    <x v="77"/>
    <s v="North"/>
    <s v="Tablet"/>
    <s v="Eva"/>
    <n v="13"/>
    <n v="825"/>
    <x v="2"/>
    <n v="10725"/>
    <n v="8578.7012869999999"/>
    <n v="2146.2987130000001"/>
    <n v="0.20012109212121212"/>
  </r>
  <r>
    <x v="251"/>
    <s v="East"/>
    <s v="Printer"/>
    <s v="Grace"/>
    <n v="17"/>
    <n v="1138"/>
    <x v="1"/>
    <n v="19346"/>
    <n v="13144.293390000001"/>
    <n v="6201.7066050000003"/>
    <n v="0.32056790059960716"/>
  </r>
  <r>
    <x v="50"/>
    <s v="West"/>
    <s v="Headphones"/>
    <s v="Bob"/>
    <n v="8"/>
    <n v="877"/>
    <x v="0"/>
    <n v="7016"/>
    <n v="5068.6217820000002"/>
    <n v="1947.3782180000001"/>
    <n v="0.27756245980615735"/>
  </r>
  <r>
    <x v="94"/>
    <s v="South"/>
    <s v="Laptop"/>
    <s v="David"/>
    <n v="3"/>
    <n v="1420"/>
    <x v="2"/>
    <n v="4260"/>
    <n v="3313.3630069999999"/>
    <n v="946.63699280000003"/>
    <n v="0.22221525652582161"/>
  </r>
  <r>
    <x v="259"/>
    <s v="South"/>
    <s v="Printer"/>
    <s v="Grace"/>
    <n v="12"/>
    <n v="510"/>
    <x v="1"/>
    <n v="6120"/>
    <n v="3737.9646619999999"/>
    <n v="2382.0353380000001"/>
    <n v="0.38922146045751638"/>
  </r>
  <r>
    <x v="293"/>
    <s v="South"/>
    <s v="Headphones"/>
    <s v="Eva"/>
    <n v="7"/>
    <n v="1055"/>
    <x v="0"/>
    <n v="7385"/>
    <n v="5500.7207239999998"/>
    <n v="1884.279276"/>
    <n v="0.25514952958700066"/>
  </r>
  <r>
    <x v="140"/>
    <s v="West"/>
    <s v="Camera"/>
    <s v="David"/>
    <n v="12"/>
    <n v="684"/>
    <x v="2"/>
    <n v="8208"/>
    <n v="7041.7916009999999"/>
    <n v="1166.2083990000001"/>
    <n v="0.14208191995614036"/>
  </r>
  <r>
    <x v="274"/>
    <s v="South"/>
    <s v="Smartwatch"/>
    <s v="Frank"/>
    <n v="2"/>
    <n v="1175"/>
    <x v="0"/>
    <n v="2350"/>
    <n v="1757.119248"/>
    <n v="592.8807521"/>
    <n v="0.25228968174468086"/>
  </r>
  <r>
    <x v="140"/>
    <s v="North"/>
    <s v="Mobile"/>
    <s v="Bob"/>
    <n v="14"/>
    <n v="1763"/>
    <x v="2"/>
    <n v="24682"/>
    <n v="18898.93362"/>
    <n v="5783.0663839999997"/>
    <n v="0.2343029893849769"/>
  </r>
  <r>
    <x v="320"/>
    <s v="East"/>
    <s v="Laptop"/>
    <s v="unknown"/>
    <n v="5"/>
    <n v="1151"/>
    <x v="2"/>
    <n v="5755"/>
    <n v="3801.589191"/>
    <n v="1953.410809"/>
    <n v="0.33942846377063424"/>
  </r>
  <r>
    <x v="306"/>
    <s v="West"/>
    <s v="Monitor"/>
    <s v="Grace"/>
    <n v="9"/>
    <n v="676"/>
    <x v="1"/>
    <n v="6084"/>
    <n v="5100.235471"/>
    <n v="983.76452859999995"/>
    <n v="0.16169699681130834"/>
  </r>
  <r>
    <x v="285"/>
    <s v="South"/>
    <s v="Printer"/>
    <s v="Charlie"/>
    <n v="-3"/>
    <n v="1140"/>
    <x v="1"/>
    <n v="-3420"/>
    <n v="-2420.209124"/>
    <n v="-999.79087649999997"/>
    <n v="0.29233651359649121"/>
  </r>
  <r>
    <x v="274"/>
    <s v="North"/>
    <s v="Printer"/>
    <s v="Bob"/>
    <n v="5"/>
    <n v="1474"/>
    <x v="1"/>
    <n v="7370"/>
    <n v="6537.0150809999996"/>
    <n v="832.9849193"/>
    <n v="0.11302373396200814"/>
  </r>
  <r>
    <x v="72"/>
    <s v="East"/>
    <s v="Tablet"/>
    <s v="David"/>
    <n v="3"/>
    <n v="1551"/>
    <x v="2"/>
    <n v="4653"/>
    <n v="4178.9265009999999"/>
    <n v="474.07349920000001"/>
    <n v="0.10188555753277456"/>
  </r>
  <r>
    <x v="22"/>
    <s v="East"/>
    <s v="Smartwatch"/>
    <s v="Frank"/>
    <n v="17"/>
    <n v="1773"/>
    <x v="0"/>
    <n v="30141"/>
    <n v="26367.351709999999"/>
    <n v="3773.6482940000001"/>
    <n v="0.1251998372316778"/>
  </r>
  <r>
    <x v="23"/>
    <s v="West"/>
    <s v="Monitor"/>
    <s v="Eva"/>
    <n v="2"/>
    <n v="1954"/>
    <x v="1"/>
    <n v="3908"/>
    <n v="2444.3094959999999"/>
    <n v="1463.6905039999999"/>
    <n v="0.37453697645854656"/>
  </r>
  <r>
    <x v="324"/>
    <s v="West"/>
    <s v="Mobile"/>
    <s v="Bob"/>
    <n v="1"/>
    <n v="1352"/>
    <x v="2"/>
    <n v="1352"/>
    <n v="946.33908789999998"/>
    <n v="405.66091210000002"/>
    <n v="0.30004505332840237"/>
  </r>
  <r>
    <x v="211"/>
    <s v="West"/>
    <s v="Headphones"/>
    <s v="Alice"/>
    <n v="7"/>
    <n v="1889"/>
    <x v="0"/>
    <n v="13223"/>
    <n v="11683.06648"/>
    <n v="1539.9335149999999"/>
    <n v="0.11645870944566286"/>
  </r>
  <r>
    <x v="344"/>
    <s v="North"/>
    <s v="Mobile"/>
    <s v="David"/>
    <n v="14"/>
    <n v="1088"/>
    <x v="2"/>
    <n v="15232"/>
    <n v="12815.59534"/>
    <n v="2416.4046560000002"/>
    <n v="0.15864001155462185"/>
  </r>
  <r>
    <x v="30"/>
    <s v="North"/>
    <s v="Smartwatch"/>
    <s v="Charlie"/>
    <n v="5"/>
    <n v="1333"/>
    <x v="0"/>
    <n v="6665"/>
    <n v="5820.9115869999996"/>
    <n v="844.08841319999999"/>
    <n v="0.1266449232108027"/>
  </r>
  <r>
    <x v="352"/>
    <s v="West"/>
    <s v="Smartwatch"/>
    <s v="Grace"/>
    <n v="19"/>
    <n v="1554"/>
    <x v="0"/>
    <n v="29526"/>
    <n v="22787.161680000001"/>
    <n v="6738.8383210000002"/>
    <n v="0.22823404189527874"/>
  </r>
  <r>
    <x v="44"/>
    <s v="South"/>
    <s v="Camera"/>
    <s v="Bob"/>
    <n v="11"/>
    <n v="1417"/>
    <x v="2"/>
    <n v="15587"/>
    <n v="11598.587159999999"/>
    <n v="3988.4128380000002"/>
    <n v="0.25588072355167768"/>
  </r>
  <r>
    <x v="263"/>
    <s v="East"/>
    <s v="Camera"/>
    <s v="Charlie"/>
    <n v="2"/>
    <n v="842"/>
    <x v="2"/>
    <n v="1684"/>
    <n v="1064.201939"/>
    <n v="619.79806059999999"/>
    <n v="0.36805110486935866"/>
  </r>
  <r>
    <x v="349"/>
    <s v="East"/>
    <s v="Mobile"/>
    <s v="David"/>
    <n v="8"/>
    <n v="1876"/>
    <x v="2"/>
    <n v="15008"/>
    <n v="12784.436669999999"/>
    <n v="2223.5633280000002"/>
    <n v="0.14815853731343284"/>
  </r>
  <r>
    <x v="263"/>
    <s v="North"/>
    <s v="Headphones"/>
    <s v="Charlie"/>
    <n v="9"/>
    <n v="1705"/>
    <x v="0"/>
    <n v="15345"/>
    <n v="12637.259120000001"/>
    <n v="2707.7408820000001"/>
    <n v="0.17645753548387097"/>
  </r>
  <r>
    <x v="277"/>
    <s v="East"/>
    <s v="Mobile"/>
    <s v="Bob"/>
    <n v="3"/>
    <n v="1227"/>
    <x v="2"/>
    <n v="3681"/>
    <n v="2273.6174329999999"/>
    <n v="1407.3825670000001"/>
    <n v="0.38233701901657163"/>
  </r>
  <r>
    <x v="80"/>
    <s v="South"/>
    <s v="Smartwatch"/>
    <s v="David"/>
    <n v="2"/>
    <n v="303"/>
    <x v="0"/>
    <n v="606"/>
    <n v="401.6715724"/>
    <n v="204.3284276"/>
    <n v="0.33717562310231025"/>
  </r>
  <r>
    <x v="125"/>
    <s v="East"/>
    <s v="Smartwatch"/>
    <s v="unknown"/>
    <n v="7"/>
    <n v="1176"/>
    <x v="0"/>
    <n v="8232"/>
    <n v="6315.4526699999997"/>
    <n v="1916.5473300000001"/>
    <n v="0.23281673104956269"/>
  </r>
  <r>
    <x v="7"/>
    <s v="North"/>
    <s v="Tablet"/>
    <s v="Bob"/>
    <n v="5"/>
    <n v="1073"/>
    <x v="2"/>
    <n v="5365"/>
    <n v="4320.545666"/>
    <n v="1044.454334"/>
    <n v="0.19467927940354149"/>
  </r>
  <r>
    <x v="164"/>
    <s v="North"/>
    <s v="Camera"/>
    <s v="Eva"/>
    <n v="5"/>
    <n v="1039"/>
    <x v="2"/>
    <n v="5195"/>
    <n v="3331.559107"/>
    <n v="1863.440893"/>
    <n v="0.35869892069297399"/>
  </r>
  <r>
    <x v="34"/>
    <s v="South"/>
    <s v="Monitor"/>
    <s v="Hannah"/>
    <n v="13"/>
    <n v="1498"/>
    <x v="1"/>
    <n v="19474"/>
    <n v="13114.715550000001"/>
    <n v="6359.2844459999997"/>
    <n v="0.32655255448290027"/>
  </r>
  <r>
    <x v="188"/>
    <s v="South"/>
    <s v="Monitor"/>
    <s v="Frank"/>
    <n v="6"/>
    <n v="1965"/>
    <x v="1"/>
    <n v="11790"/>
    <n v="7757.0308189999996"/>
    <n v="4032.9691809999999"/>
    <n v="0.34206693647158609"/>
  </r>
  <r>
    <x v="332"/>
    <s v="East"/>
    <s v="Monitor"/>
    <s v="Bob"/>
    <n v="18"/>
    <n v="1177"/>
    <x v="1"/>
    <n v="21186"/>
    <n v="14109.857900000001"/>
    <n v="7076.1420969999999"/>
    <n v="0.33400085419616726"/>
  </r>
  <r>
    <x v="220"/>
    <s v="East"/>
    <s v="Tablet"/>
    <s v="David"/>
    <n v="2"/>
    <n v="1399"/>
    <x v="2"/>
    <n v="2798"/>
    <n v="2451.646596"/>
    <n v="346.35340409999998"/>
    <n v="0.12378606293781272"/>
  </r>
  <r>
    <x v="280"/>
    <s v="North"/>
    <s v="Laptop"/>
    <s v="Grace"/>
    <n v="6"/>
    <n v="1458"/>
    <x v="2"/>
    <n v="8748"/>
    <n v="7127.3968869999999"/>
    <n v="1620.6031129999999"/>
    <n v="0.18525412814357567"/>
  </r>
  <r>
    <x v="307"/>
    <s v="South"/>
    <s v="Monitor"/>
    <s v="Frank"/>
    <n v="9"/>
    <n v="1154"/>
    <x v="1"/>
    <n v="10386"/>
    <n v="8528.2779300000002"/>
    <n v="1857.72207"/>
    <n v="0.1788679058347776"/>
  </r>
  <r>
    <x v="15"/>
    <s v="South"/>
    <s v="Smartwatch"/>
    <s v="Bob"/>
    <n v="3"/>
    <n v="1258"/>
    <x v="0"/>
    <n v="3774"/>
    <n v="3163.3614910000001"/>
    <n v="610.638509"/>
    <n v="0.16180140673025967"/>
  </r>
  <r>
    <x v="272"/>
    <s v="South"/>
    <s v="Tablet"/>
    <s v="Alice"/>
    <n v="1"/>
    <n v="1181"/>
    <x v="2"/>
    <n v="1181"/>
    <n v="834.93382899999995"/>
    <n v="346.066171"/>
    <n v="0.29302808721422524"/>
  </r>
  <r>
    <x v="209"/>
    <s v="East"/>
    <s v="Mobile"/>
    <s v="Grace"/>
    <n v="1"/>
    <n v="204"/>
    <x v="2"/>
    <n v="204"/>
    <n v="169.3516984"/>
    <n v="34.648301600000003"/>
    <n v="0.16984461568627451"/>
  </r>
  <r>
    <x v="37"/>
    <s v="South"/>
    <s v="Camera"/>
    <s v="Alice"/>
    <n v="19"/>
    <n v="1389"/>
    <x v="2"/>
    <n v="26391"/>
    <n v="23580.99237"/>
    <n v="2810.0076330000002"/>
    <n v="0.10647598169830624"/>
  </r>
  <r>
    <x v="326"/>
    <s v="North"/>
    <s v="Camera"/>
    <s v="Eva"/>
    <n v="5"/>
    <n v="1645"/>
    <x v="2"/>
    <n v="8225"/>
    <n v="6658.2878019999998"/>
    <n v="1566.7121979999999"/>
    <n v="0.19048172620060791"/>
  </r>
  <r>
    <x v="304"/>
    <s v="North"/>
    <s v="Headphones"/>
    <s v="Grace"/>
    <n v="13"/>
    <n v="1619"/>
    <x v="0"/>
    <n v="21047"/>
    <n v="15259.62083"/>
    <n v="5787.3791739999997"/>
    <n v="0.27497406632774268"/>
  </r>
  <r>
    <x v="346"/>
    <s v="East"/>
    <s v="Mobile"/>
    <s v="Charlie"/>
    <n v="19"/>
    <n v="352"/>
    <x v="2"/>
    <n v="6688"/>
    <n v="5450.1042740000003"/>
    <n v="1237.895726"/>
    <n v="0.18509206429425837"/>
  </r>
  <r>
    <x v="14"/>
    <s v="West"/>
    <s v="Headphones"/>
    <s v="Hannah"/>
    <n v="12"/>
    <n v="394"/>
    <x v="0"/>
    <n v="4728"/>
    <n v="4114.4872029999997"/>
    <n v="613.51279709999994"/>
    <n v="0.12976158991116751"/>
  </r>
  <r>
    <x v="178"/>
    <s v="East"/>
    <s v="Tablet"/>
    <s v="Grace"/>
    <n v="16"/>
    <n v="767"/>
    <x v="2"/>
    <n v="12272"/>
    <n v="7837.2484990000003"/>
    <n v="4434.7515009999997"/>
    <n v="0.36137153691329854"/>
  </r>
  <r>
    <x v="114"/>
    <s v="West"/>
    <s v="Printer"/>
    <s v="Frank"/>
    <n v="19"/>
    <n v="1281"/>
    <x v="1"/>
    <n v="24339"/>
    <n v="16540.502130000001"/>
    <n v="7798.497867"/>
    <n v="0.32041159731295454"/>
  </r>
  <r>
    <x v="294"/>
    <s v="South"/>
    <s v="Monitor"/>
    <s v="Grace"/>
    <n v="3"/>
    <n v="648"/>
    <x v="1"/>
    <n v="1944"/>
    <n v="1702.533553"/>
    <n v="241.4664472"/>
    <n v="0.1242111353909465"/>
  </r>
  <r>
    <x v="273"/>
    <s v="East"/>
    <s v="Laptop"/>
    <s v="David"/>
    <n v="12"/>
    <n v="730"/>
    <x v="2"/>
    <n v="8760"/>
    <n v="7742.7000619999999"/>
    <n v="1017.299938"/>
    <n v="0.1161301299086758"/>
  </r>
  <r>
    <x v="28"/>
    <s v="North"/>
    <s v="Mobile"/>
    <s v="Hannah"/>
    <n v="5"/>
    <n v="1190"/>
    <x v="2"/>
    <n v="5950"/>
    <n v="4434.1883420000004"/>
    <n v="1515.8116580000001"/>
    <n v="0.25475826184873951"/>
  </r>
  <r>
    <x v="13"/>
    <s v="South"/>
    <s v="Mobile"/>
    <s v="David"/>
    <n v="2"/>
    <n v="1877"/>
    <x v="2"/>
    <n v="3754"/>
    <n v="2674.2192949999999"/>
    <n v="1079.7807049999999"/>
    <n v="0.28763471097496002"/>
  </r>
  <r>
    <x v="64"/>
    <s v="North"/>
    <s v="Mobile"/>
    <s v="Charlie"/>
    <n v="7"/>
    <n v="398"/>
    <x v="2"/>
    <n v="2786"/>
    <n v="1907.9490330000001"/>
    <n v="878.05096690000005"/>
    <n v="0.31516545832735104"/>
  </r>
  <r>
    <x v="125"/>
    <s v="South"/>
    <s v="Headphones"/>
    <s v="Grace"/>
    <n v="13"/>
    <n v="1586"/>
    <x v="0"/>
    <n v="20618"/>
    <n v="15455.77778"/>
    <n v="5162.2222179999999"/>
    <n v="0.25037453768551748"/>
  </r>
  <r>
    <x v="51"/>
    <s v="East"/>
    <s v="Tablet"/>
    <s v="Alice"/>
    <n v="15"/>
    <n v="1848"/>
    <x v="2"/>
    <n v="27720"/>
    <n v="24403.56106"/>
    <n v="3316.4389430000001"/>
    <n v="0.11964065450937951"/>
  </r>
  <r>
    <x v="266"/>
    <s v="West"/>
    <s v="Mobile"/>
    <s v="Alice"/>
    <n v="3"/>
    <n v="1943"/>
    <x v="2"/>
    <n v="5829"/>
    <n v="3759.3720950000002"/>
    <n v="2069.6279049999998"/>
    <n v="0.35505711185452049"/>
  </r>
  <r>
    <x v="110"/>
    <s v="South"/>
    <s v="Printer"/>
    <s v="Bob"/>
    <n v="5"/>
    <n v="200"/>
    <x v="1"/>
    <n v="1000"/>
    <n v="725.94919159999995"/>
    <n v="274.05080839999999"/>
    <n v="0.27405080840000001"/>
  </r>
  <r>
    <x v="337"/>
    <s v="West"/>
    <s v="Mobile"/>
    <s v="Eva"/>
    <n v="8"/>
    <n v="1179"/>
    <x v="2"/>
    <n v="9432"/>
    <n v="8238.6855919999998"/>
    <n v="1193.314408"/>
    <n v="0.12651764291772688"/>
  </r>
  <r>
    <x v="339"/>
    <s v="South"/>
    <s v="Camera"/>
    <s v="Frank"/>
    <n v="1"/>
    <n v="431"/>
    <x v="2"/>
    <n v="431"/>
    <n v="303.74112159999999"/>
    <n v="127.2588784"/>
    <n v="0.29526421902552202"/>
  </r>
  <r>
    <x v="229"/>
    <s v="North"/>
    <s v="Monitor"/>
    <s v="Hannah"/>
    <n v="8"/>
    <n v="935"/>
    <x v="1"/>
    <n v="7480"/>
    <n v="6211.5746769999996"/>
    <n v="1268.4253229999999"/>
    <n v="0.16957557794117648"/>
  </r>
  <r>
    <x v="232"/>
    <s v="North"/>
    <s v="Laptop"/>
    <s v="Eva"/>
    <n v="18"/>
    <n v="1874"/>
    <x v="2"/>
    <n v="33732"/>
    <n v="24178.353330000002"/>
    <n v="9553.6466670000009"/>
    <n v="0.28322206412308787"/>
  </r>
  <r>
    <x v="71"/>
    <s v="South"/>
    <s v="Monitor"/>
    <s v="Grace"/>
    <n v="16"/>
    <n v="492"/>
    <x v="1"/>
    <n v="7872"/>
    <n v="6624.1148439999997"/>
    <n v="1247.8851560000001"/>
    <n v="0.15852199644308942"/>
  </r>
  <r>
    <x v="338"/>
    <s v="West"/>
    <s v="Camera"/>
    <s v="Eva"/>
    <n v="18"/>
    <n v="1866"/>
    <x v="2"/>
    <n v="33588"/>
    <n v="30037.772079999999"/>
    <n v="3550.2279210000002"/>
    <n v="0.10569929501607718"/>
  </r>
  <r>
    <x v="362"/>
    <s v="East"/>
    <s v="Camera"/>
    <s v="Bob"/>
    <n v="12"/>
    <n v="973"/>
    <x v="2"/>
    <n v="11676"/>
    <n v="8364.0629389999995"/>
    <n v="3311.9370610000001"/>
    <n v="0.28365339679684826"/>
  </r>
  <r>
    <x v="100"/>
    <s v="East"/>
    <s v="Laptop"/>
    <s v="Eva"/>
    <n v="13"/>
    <n v="480"/>
    <x v="2"/>
    <n v="6240"/>
    <n v="5326.0246809999999"/>
    <n v="913.97531860000004"/>
    <n v="0.14647040362179486"/>
  </r>
  <r>
    <x v="195"/>
    <s v="North"/>
    <s v="Printer"/>
    <s v="Hannah"/>
    <n v="13"/>
    <n v="191"/>
    <x v="1"/>
    <n v="2483"/>
    <n v="2226.0716929999999"/>
    <n v="256.92830720000001"/>
    <n v="0.10347495255739025"/>
  </r>
  <r>
    <x v="148"/>
    <s v="East"/>
    <s v="Tablet"/>
    <s v="Charlie"/>
    <n v="10"/>
    <n v="1914"/>
    <x v="2"/>
    <n v="19140"/>
    <n v="17133.152679999999"/>
    <n v="2006.847319"/>
    <n v="0.10485095710553814"/>
  </r>
  <r>
    <x v="33"/>
    <s v="North"/>
    <s v="Camera"/>
    <s v="Bob"/>
    <n v="7"/>
    <n v="546"/>
    <x v="2"/>
    <n v="3822"/>
    <n v="2790.5619219999999"/>
    <n v="1031.4380779999999"/>
    <n v="0.26986867556253269"/>
  </r>
  <r>
    <x v="221"/>
    <s v="East"/>
    <s v="Tablet"/>
    <s v="Charlie"/>
    <n v="14"/>
    <n v="208"/>
    <x v="2"/>
    <n v="2912"/>
    <n v="2171.560915"/>
    <n v="740.43908510000006"/>
    <n v="0.25427166383928573"/>
  </r>
  <r>
    <x v="143"/>
    <s v="Unknown"/>
    <s v="Camera"/>
    <s v="Grace"/>
    <n v="16"/>
    <n v="416"/>
    <x v="2"/>
    <n v="6656"/>
    <n v="4599.4322380000003"/>
    <n v="2056.5677620000001"/>
    <n v="0.3089795315504808"/>
  </r>
  <r>
    <x v="54"/>
    <s v="North"/>
    <s v="Smartwatch"/>
    <s v="Bob"/>
    <n v="15"/>
    <n v="1291"/>
    <x v="0"/>
    <n v="19365"/>
    <n v="13443.292009999999"/>
    <n v="5921.7079919999996"/>
    <n v="0.30579437087529043"/>
  </r>
  <r>
    <x v="271"/>
    <s v="North"/>
    <s v="Laptop"/>
    <s v="Grace"/>
    <n v="12"/>
    <n v="1935"/>
    <x v="2"/>
    <n v="23220"/>
    <n v="17362.550360000001"/>
    <n v="5857.4496429999999"/>
    <n v="0.2522588132213609"/>
  </r>
  <r>
    <x v="117"/>
    <s v="South"/>
    <s v="Camera"/>
    <s v="Grace"/>
    <n v="9"/>
    <n v="1558"/>
    <x v="2"/>
    <n v="14022"/>
    <n v="9256.7015009999996"/>
    <n v="4765.2984990000004"/>
    <n v="0.33984442297817719"/>
  </r>
  <r>
    <x v="268"/>
    <s v="North"/>
    <s v="Smartwatch"/>
    <s v="Eva"/>
    <n v="8"/>
    <n v="541"/>
    <x v="0"/>
    <n v="4328"/>
    <n v="3520.122488"/>
    <n v="807.87751230000003"/>
    <n v="0.18666301115988909"/>
  </r>
  <r>
    <x v="255"/>
    <s v="East"/>
    <s v="Monitor"/>
    <s v="Charlie"/>
    <n v="18"/>
    <n v="317"/>
    <x v="1"/>
    <n v="5706"/>
    <n v="4341.6529499999997"/>
    <n v="1364.3470500000001"/>
    <n v="0.23910743953732913"/>
  </r>
  <r>
    <x v="240"/>
    <s v="East"/>
    <s v="Headphones"/>
    <s v="Grace"/>
    <n v="18"/>
    <n v="1345"/>
    <x v="0"/>
    <n v="24210"/>
    <n v="21048.666850000001"/>
    <n v="3161.333153"/>
    <n v="0.13057964283353987"/>
  </r>
  <r>
    <x v="225"/>
    <s v="North"/>
    <s v="Smartwatch"/>
    <s v="Charlie"/>
    <n v="13"/>
    <n v="772"/>
    <x v="0"/>
    <n v="10036"/>
    <n v="8462.1015920000009"/>
    <n v="1573.898408"/>
    <n v="0.15682526982861697"/>
  </r>
  <r>
    <x v="302"/>
    <s v="East"/>
    <s v="Mobile"/>
    <s v="Charlie"/>
    <n v="18"/>
    <n v="1651"/>
    <x v="2"/>
    <n v="29718"/>
    <n v="20705.758959999999"/>
    <n v="9012.2410409999993"/>
    <n v="0.30325866616192204"/>
  </r>
  <r>
    <x v="128"/>
    <s v="West"/>
    <s v="Camera"/>
    <s v="Bob"/>
    <n v="15"/>
    <n v="377"/>
    <x v="2"/>
    <n v="5655"/>
    <n v="4251.0975429999999"/>
    <n v="1403.9024569999999"/>
    <n v="0.2482586130857648"/>
  </r>
  <r>
    <x v="314"/>
    <s v="North"/>
    <s v="Smartwatch"/>
    <s v="David"/>
    <n v="4"/>
    <n v="1108"/>
    <x v="0"/>
    <n v="4432"/>
    <n v="3657.084648"/>
    <n v="774.91535220000003"/>
    <n v="0.17484552170577619"/>
  </r>
  <r>
    <x v="231"/>
    <s v="South"/>
    <s v="Tablet"/>
    <s v="Eva"/>
    <n v="17"/>
    <n v="668"/>
    <x v="2"/>
    <n v="11356"/>
    <n v="7471.7941940000001"/>
    <n v="3884.2058059999999"/>
    <n v="0.34203996178231771"/>
  </r>
  <r>
    <x v="336"/>
    <s v="West"/>
    <s v="Headphones"/>
    <s v="Grace"/>
    <n v="5"/>
    <n v="1697"/>
    <x v="0"/>
    <n v="8485"/>
    <n v="5171.4320209999996"/>
    <n v="3313.5679789999999"/>
    <n v="0.39052068108426635"/>
  </r>
  <r>
    <x v="125"/>
    <s v="North"/>
    <s v="Printer"/>
    <s v="Charlie"/>
    <n v="16"/>
    <n v="1109"/>
    <x v="1"/>
    <n v="17744"/>
    <n v="15183.38745"/>
    <n v="2560.6125459999998"/>
    <n v="0.14430864213255185"/>
  </r>
  <r>
    <x v="227"/>
    <s v="South"/>
    <s v="Camera"/>
    <s v="Frank"/>
    <n v="9"/>
    <n v="974"/>
    <x v="2"/>
    <n v="8766"/>
    <n v="5621.329667"/>
    <n v="3144.670333"/>
    <n v="0.35873492276979241"/>
  </r>
  <r>
    <x v="215"/>
    <s v="East"/>
    <s v="Mobile"/>
    <s v="David"/>
    <n v="10"/>
    <n v="565"/>
    <x v="2"/>
    <n v="5650"/>
    <n v="4897.5523750000002"/>
    <n v="752.44762449999996"/>
    <n v="0.1331765707079646"/>
  </r>
  <r>
    <x v="228"/>
    <s v="South"/>
    <s v="Printer"/>
    <s v="Grace"/>
    <n v="18"/>
    <n v="938"/>
    <x v="1"/>
    <n v="16884"/>
    <n v="14758.00736"/>
    <n v="2125.9926369999998"/>
    <n v="0.1259175928097607"/>
  </r>
  <r>
    <x v="95"/>
    <s v="West"/>
    <s v="Smartwatch"/>
    <s v="Frank"/>
    <n v="17"/>
    <n v="853"/>
    <x v="0"/>
    <n v="14501"/>
    <n v="10704.78512"/>
    <n v="3796.214884"/>
    <n v="0.2617898685607889"/>
  </r>
  <r>
    <x v="13"/>
    <s v="East"/>
    <s v="Printer"/>
    <s v="Eva"/>
    <n v="18"/>
    <n v="1725"/>
    <x v="1"/>
    <n v="31050"/>
    <n v="26145.17165"/>
    <n v="4904.8283490000003"/>
    <n v="0.15796548628019325"/>
  </r>
  <r>
    <x v="73"/>
    <s v="North"/>
    <s v="Printer"/>
    <s v="Eva"/>
    <n v="7"/>
    <n v="1707"/>
    <x v="1"/>
    <n v="11949"/>
    <n v="8471.3316610000002"/>
    <n v="3477.6683389999998"/>
    <n v="0.29104262607749604"/>
  </r>
  <r>
    <x v="204"/>
    <s v="East"/>
    <s v="Headphones"/>
    <s v="Charlie"/>
    <n v="4"/>
    <n v="937"/>
    <x v="0"/>
    <n v="3748"/>
    <n v="3213.8326579999998"/>
    <n v="534.16734169999995"/>
    <n v="0.14252063545891142"/>
  </r>
  <r>
    <x v="331"/>
    <s v="North"/>
    <s v="Monitor"/>
    <s v="Charlie"/>
    <n v="5"/>
    <n v="129"/>
    <x v="1"/>
    <n v="645"/>
    <n v="546.57594459999996"/>
    <n v="98.424055409999994"/>
    <n v="0.15259543474418605"/>
  </r>
  <r>
    <x v="6"/>
    <s v="North"/>
    <s v="Printer"/>
    <s v="Hannah"/>
    <n v="16"/>
    <n v="458"/>
    <x v="1"/>
    <n v="7328"/>
    <n v="4569.4148279999999"/>
    <n v="2758.5851720000001"/>
    <n v="0.37644448307860262"/>
  </r>
  <r>
    <x v="134"/>
    <s v="South"/>
    <s v="Printer"/>
    <s v="Hannah"/>
    <n v="3"/>
    <n v="1411"/>
    <x v="1"/>
    <n v="4233"/>
    <n v="3279.645951"/>
    <n v="953.35404940000001"/>
    <n v="0.22521947776990314"/>
  </r>
  <r>
    <x v="217"/>
    <s v="South"/>
    <s v="Camera"/>
    <s v="Grace"/>
    <n v="18"/>
    <n v="185"/>
    <x v="2"/>
    <n v="3330"/>
    <n v="2637.358905"/>
    <n v="692.64109529999996"/>
    <n v="0.2080003289189189"/>
  </r>
  <r>
    <x v="308"/>
    <s v="South"/>
    <s v="Monitor"/>
    <s v="Bob"/>
    <n v="14"/>
    <n v="1357"/>
    <x v="1"/>
    <n v="18998"/>
    <n v="11403.686040000001"/>
    <n v="7594.3139570000003"/>
    <n v="0.39974281276976525"/>
  </r>
  <r>
    <x v="301"/>
    <s v="West"/>
    <s v="Headphones"/>
    <s v="David"/>
    <n v="15"/>
    <n v="846"/>
    <x v="0"/>
    <n v="12690"/>
    <n v="11344.54904"/>
    <n v="1345.450961"/>
    <n v="0.10602450441292356"/>
  </r>
  <r>
    <x v="11"/>
    <s v="West"/>
    <s v="Mobile"/>
    <s v="Grace"/>
    <n v="17"/>
    <n v="412"/>
    <x v="2"/>
    <n v="7004"/>
    <n v="5056.6797880000004"/>
    <n v="1947.3202120000001"/>
    <n v="0.27802972758423761"/>
  </r>
  <r>
    <x v="159"/>
    <s v="South"/>
    <s v="Smartwatch"/>
    <s v="David"/>
    <n v="1"/>
    <n v="464"/>
    <x v="0"/>
    <n v="464"/>
    <n v="350.41417430000001"/>
    <n v="113.5858257"/>
    <n v="0.24479703814655174"/>
  </r>
  <r>
    <x v="349"/>
    <s v="West"/>
    <s v="Headphones"/>
    <s v="Charlie"/>
    <n v="17"/>
    <n v="1900"/>
    <x v="0"/>
    <n v="32300"/>
    <n v="21267.651529999999"/>
    <n v="11032.348470000001"/>
    <n v="0.34155877616099073"/>
  </r>
  <r>
    <x v="171"/>
    <s v="East"/>
    <s v="Unknown"/>
    <s v="Eva"/>
    <n v="11"/>
    <n v="1922"/>
    <x v="0"/>
    <n v="21142"/>
    <n v="16560.012170000002"/>
    <n v="4581.98783"/>
    <n v="0.21672442673351622"/>
  </r>
  <r>
    <x v="44"/>
    <s v="East"/>
    <s v="Laptop"/>
    <s v="Charlie"/>
    <n v="17"/>
    <n v="1962"/>
    <x v="2"/>
    <n v="33354"/>
    <n v="28123.624510000001"/>
    <n v="5230.3754939999999"/>
    <n v="0.15681404011512862"/>
  </r>
  <r>
    <x v="334"/>
    <s v="West"/>
    <s v="Headphones"/>
    <s v="Eva"/>
    <n v="14"/>
    <n v="1004"/>
    <x v="0"/>
    <n v="14056"/>
    <n v="10904.190839999999"/>
    <n v="3151.8091570000001"/>
    <n v="0.22423229631474104"/>
  </r>
  <r>
    <x v="55"/>
    <s v="West"/>
    <s v="Monitor"/>
    <s v="Hannah"/>
    <n v="19"/>
    <n v="1392"/>
    <x v="1"/>
    <n v="26448"/>
    <n v="22121.385269999999"/>
    <n v="4326.6147330000003"/>
    <n v="0.16358948627495465"/>
  </r>
  <r>
    <x v="100"/>
    <s v="East"/>
    <s v="Laptop"/>
    <s v="unknown"/>
    <n v="7"/>
    <n v="797"/>
    <x v="2"/>
    <n v="5579"/>
    <n v="4571.055394"/>
    <n v="1007.944606"/>
    <n v="0.18066761175837964"/>
  </r>
  <r>
    <x v="157"/>
    <s v="North"/>
    <s v="Smartwatch"/>
    <s v="Hannah"/>
    <n v="13"/>
    <n v="230"/>
    <x v="0"/>
    <n v="2990"/>
    <n v="2007.1790570000001"/>
    <n v="982.82094310000002"/>
    <n v="0.32870265655518394"/>
  </r>
  <r>
    <x v="77"/>
    <s v="East"/>
    <s v="Printer"/>
    <s v="Eva"/>
    <n v="18"/>
    <n v="902"/>
    <x v="1"/>
    <n v="16236"/>
    <n v="11864.357190000001"/>
    <n v="4371.6428139999998"/>
    <n v="0.26925614769647693"/>
  </r>
  <r>
    <x v="140"/>
    <s v="East"/>
    <s v="Camera"/>
    <s v="Charlie"/>
    <n v="14"/>
    <n v="888"/>
    <x v="2"/>
    <n v="12432"/>
    <n v="8013.5188280000002"/>
    <n v="4418.4811719999998"/>
    <n v="0.35541193468468468"/>
  </r>
  <r>
    <x v="43"/>
    <s v="West"/>
    <s v="Camera"/>
    <s v="Hannah"/>
    <n v="1"/>
    <n v="1955"/>
    <x v="2"/>
    <n v="1955"/>
    <n v="1197.5953910000001"/>
    <n v="757.40460929999995"/>
    <n v="0.38741923749360613"/>
  </r>
  <r>
    <x v="320"/>
    <s v="East"/>
    <s v="Smartwatch"/>
    <s v="Alice"/>
    <n v="7"/>
    <n v="450"/>
    <x v="0"/>
    <n v="3150"/>
    <n v="1949.6001630000001"/>
    <n v="1200.3998369999999"/>
    <n v="0.38107931333333334"/>
  </r>
  <r>
    <x v="44"/>
    <s v="West"/>
    <s v="Smartwatch"/>
    <s v="David"/>
    <n v="8"/>
    <n v="279"/>
    <x v="0"/>
    <n v="2232"/>
    <n v="1970.297953"/>
    <n v="261.70204699999999"/>
    <n v="0.11725002105734766"/>
  </r>
  <r>
    <x v="91"/>
    <s v="West"/>
    <s v="Monitor"/>
    <s v="Frank"/>
    <n v="18"/>
    <n v="1925"/>
    <x v="1"/>
    <n v="34650"/>
    <n v="31024.266889999999"/>
    <n v="3625.7331119999999"/>
    <n v="0.10463876225108225"/>
  </r>
  <r>
    <x v="274"/>
    <s v="South"/>
    <s v="Tablet"/>
    <s v="Eva"/>
    <n v="9"/>
    <n v="1603"/>
    <x v="2"/>
    <n v="14427"/>
    <n v="9067.2721529999999"/>
    <n v="5359.7278470000001"/>
    <n v="0.37150674755666457"/>
  </r>
  <r>
    <x v="147"/>
    <s v="East"/>
    <s v="Printer"/>
    <s v="Eva"/>
    <n v="1"/>
    <n v="1286"/>
    <x v="1"/>
    <n v="1286"/>
    <n v="900.91762730000005"/>
    <n v="385.08237270000001"/>
    <n v="0.29944196944012441"/>
  </r>
  <r>
    <x v="91"/>
    <s v="North"/>
    <s v="Smartwatch"/>
    <s v="Alice"/>
    <n v="17"/>
    <n v="1906"/>
    <x v="0"/>
    <n v="32402"/>
    <n v="20553.43766"/>
    <n v="11848.56234"/>
    <n v="0.36567379606197148"/>
  </r>
  <r>
    <x v="163"/>
    <s v="South"/>
    <s v="Headphones"/>
    <s v="Grace"/>
    <n v="19"/>
    <n v="1219"/>
    <x v="0"/>
    <n v="23161"/>
    <n v="19693.07213"/>
    <n v="3467.9278669999999"/>
    <n v="0.14973135300721038"/>
  </r>
  <r>
    <x v="236"/>
    <s v="West"/>
    <s v="Monitor"/>
    <s v="Grace"/>
    <n v="6"/>
    <n v="873"/>
    <x v="1"/>
    <n v="5238"/>
    <n v="3922.6812500000001"/>
    <n v="1315.3187499999999"/>
    <n v="0.25111087247040853"/>
  </r>
  <r>
    <x v="26"/>
    <s v="West"/>
    <s v="Camera"/>
    <s v="Grace"/>
    <n v="3"/>
    <n v="609"/>
    <x v="2"/>
    <n v="1827"/>
    <n v="1436.7135679999999"/>
    <n v="390.28643160000001"/>
    <n v="0.21362147323481118"/>
  </r>
  <r>
    <x v="92"/>
    <s v="North"/>
    <s v="Mobile"/>
    <s v="Frank"/>
    <n v="5"/>
    <n v="464"/>
    <x v="2"/>
    <n v="2320"/>
    <n v="1767.777963"/>
    <n v="552.22203739999998"/>
    <n v="0.23802674025862067"/>
  </r>
  <r>
    <x v="128"/>
    <s v="West"/>
    <s v="Monitor"/>
    <s v="Bob"/>
    <n v="2"/>
    <n v="1080"/>
    <x v="1"/>
    <n v="2160"/>
    <n v="1756.244322"/>
    <n v="403.75567769999998"/>
    <n v="0.18692392486111109"/>
  </r>
  <r>
    <x v="88"/>
    <s v="East"/>
    <s v="Camera"/>
    <s v="Alice"/>
    <n v="4"/>
    <n v="452"/>
    <x v="2"/>
    <n v="1808"/>
    <n v="1257.8973289999999"/>
    <n v="550.10267120000003"/>
    <n v="0.30426032699115046"/>
  </r>
  <r>
    <x v="298"/>
    <s v="South"/>
    <s v="Laptop"/>
    <s v="Frank"/>
    <n v="10"/>
    <n v="899"/>
    <x v="2"/>
    <n v="8990"/>
    <n v="5764.8195770000002"/>
    <n v="3225.1804229999998"/>
    <n v="0.35875199365962179"/>
  </r>
  <r>
    <x v="90"/>
    <s v="West"/>
    <s v="Unknown"/>
    <s v="Hannah"/>
    <n v="10"/>
    <n v="1559"/>
    <x v="1"/>
    <n v="15590"/>
    <n v="9436.4087529999997"/>
    <n v="6153.5912470000003"/>
    <n v="0.39471399916613215"/>
  </r>
  <r>
    <x v="270"/>
    <s v="West"/>
    <s v="Camera"/>
    <s v="Alice"/>
    <n v="11"/>
    <n v="1206"/>
    <x v="2"/>
    <n v="13266"/>
    <n v="9733.3685580000001"/>
    <n v="3532.6314419999999"/>
    <n v="0.26629213342379016"/>
  </r>
  <r>
    <x v="80"/>
    <s v="North"/>
    <s v="Tablet"/>
    <s v="Eva"/>
    <n v="16"/>
    <n v="1348"/>
    <x v="2"/>
    <n v="21568"/>
    <n v="18814.851890000002"/>
    <n v="2753.1481119999999"/>
    <n v="0.12764967136498515"/>
  </r>
  <r>
    <x v="295"/>
    <s v="East"/>
    <s v="Monitor"/>
    <s v="David"/>
    <n v="17"/>
    <n v="511"/>
    <x v="1"/>
    <n v="8687"/>
    <n v="6007.7551249999997"/>
    <n v="2679.2448749999999"/>
    <n v="0.30842003856337052"/>
  </r>
  <r>
    <x v="343"/>
    <s v="Unknown"/>
    <s v="Monitor"/>
    <s v="Alice"/>
    <n v="16"/>
    <n v="834"/>
    <x v="1"/>
    <n v="13344"/>
    <n v="8790.8543460000001"/>
    <n v="4553.1456539999999"/>
    <n v="0.34121295368705035"/>
  </r>
  <r>
    <x v="256"/>
    <s v="North"/>
    <s v="Printer"/>
    <s v="Bob"/>
    <n v="7"/>
    <n v="1080"/>
    <x v="1"/>
    <n v="7560"/>
    <n v="6636.264948"/>
    <n v="923.73505150000005"/>
    <n v="0.12218717612433863"/>
  </r>
  <r>
    <x v="186"/>
    <s v="West"/>
    <s v="Smartwatch"/>
    <s v="Charlie"/>
    <n v="16"/>
    <n v="217"/>
    <x v="0"/>
    <n v="3472"/>
    <n v="2193.0353019999998"/>
    <n v="1278.964698"/>
    <n v="0.36836540841013826"/>
  </r>
  <r>
    <x v="244"/>
    <s v="North"/>
    <s v="Printer"/>
    <s v="Hannah"/>
    <n v="3"/>
    <n v="581"/>
    <x v="1"/>
    <n v="1743"/>
    <n v="1072.8867600000001"/>
    <n v="670.11323960000004"/>
    <n v="0.38445968995983937"/>
  </r>
  <r>
    <x v="65"/>
    <s v="North"/>
    <s v="Monitor"/>
    <s v="Frank"/>
    <n v="16"/>
    <n v="291"/>
    <x v="1"/>
    <n v="4656"/>
    <n v="4021.9643230000001"/>
    <n v="634.03567720000001"/>
    <n v="0.13617604750859108"/>
  </r>
  <r>
    <x v="297"/>
    <s v="Unknown"/>
    <s v="Smartwatch"/>
    <s v="Hannah"/>
    <n v="8"/>
    <n v="690"/>
    <x v="0"/>
    <n v="5520"/>
    <n v="4472.7059369999997"/>
    <n v="1047.2940630000001"/>
    <n v="0.18972718532608696"/>
  </r>
  <r>
    <x v="266"/>
    <s v="West"/>
    <s v="Camera"/>
    <s v="Hannah"/>
    <n v="12"/>
    <n v="689"/>
    <x v="2"/>
    <n v="8268"/>
    <n v="6007.6990500000002"/>
    <n v="2260.3009499999998"/>
    <n v="0.27337940856313497"/>
  </r>
  <r>
    <x v="348"/>
    <s v="East"/>
    <s v="Mobile"/>
    <s v="Alice"/>
    <n v="3"/>
    <n v="758"/>
    <x v="2"/>
    <n v="2274"/>
    <n v="1877.649058"/>
    <n v="396.3509416"/>
    <n v="0.17429680809146877"/>
  </r>
  <r>
    <x v="339"/>
    <s v="North"/>
    <s v="Mobile"/>
    <s v="Alice"/>
    <n v="17"/>
    <n v="206"/>
    <x v="2"/>
    <n v="3502"/>
    <n v="2880.1568139999999"/>
    <n v="621.84318640000004"/>
    <n v="0.17756801439177614"/>
  </r>
  <r>
    <x v="232"/>
    <s v="South"/>
    <s v="Monitor"/>
    <s v="Bob"/>
    <n v="18"/>
    <n v="481"/>
    <x v="1"/>
    <n v="8658"/>
    <n v="5298.8533070000003"/>
    <n v="3359.1466930000001"/>
    <n v="0.38798183102333106"/>
  </r>
  <r>
    <x v="273"/>
    <s v="West"/>
    <s v="Tablet"/>
    <s v="David"/>
    <n v="11"/>
    <n v="882"/>
    <x v="2"/>
    <n v="9702"/>
    <n v="7789.4839709999997"/>
    <n v="1912.5160289999999"/>
    <n v="0.1971259564007421"/>
  </r>
  <r>
    <x v="105"/>
    <s v="South"/>
    <s v="Laptop"/>
    <s v="Alice"/>
    <n v="4"/>
    <n v="489"/>
    <x v="2"/>
    <n v="1956"/>
    <n v="1549.6639110000001"/>
    <n v="406.33608889999999"/>
    <n v="0.20773828675869122"/>
  </r>
  <r>
    <x v="279"/>
    <s v="West"/>
    <s v="Camera"/>
    <s v="Alice"/>
    <n v="16"/>
    <n v="343"/>
    <x v="2"/>
    <n v="5488"/>
    <n v="4879.5659699999997"/>
    <n v="608.43402979999996"/>
    <n v="0.11086625907434401"/>
  </r>
  <r>
    <x v="363"/>
    <s v="East"/>
    <s v="Smartwatch"/>
    <s v="David"/>
    <n v="17"/>
    <n v="684"/>
    <x v="0"/>
    <n v="11628"/>
    <n v="10348.766310000001"/>
    <n v="1279.2336869999999"/>
    <n v="0.11001321697626418"/>
  </r>
  <r>
    <x v="50"/>
    <s v="East"/>
    <s v="Monitor"/>
    <s v="Bob"/>
    <n v="9"/>
    <n v="968"/>
    <x v="1"/>
    <n v="8712"/>
    <n v="6214.6163189999997"/>
    <n v="2497.3836809999998"/>
    <n v="0.28666020213498622"/>
  </r>
  <r>
    <x v="119"/>
    <s v="East"/>
    <s v="Headphones"/>
    <s v="Frank"/>
    <n v="6"/>
    <n v="567"/>
    <x v="2"/>
    <n v="3402"/>
    <n v="2643.1926549999998"/>
    <n v="758.80734470000004"/>
    <n v="0.22304742642563199"/>
  </r>
  <r>
    <x v="292"/>
    <s v="East"/>
    <s v="Monitor"/>
    <s v="Hannah"/>
    <n v="2"/>
    <n v="965"/>
    <x v="1"/>
    <n v="1930"/>
    <n v="1239.84592"/>
    <n v="690.15407990000006"/>
    <n v="0.35759278751295337"/>
  </r>
  <r>
    <x v="219"/>
    <s v="East"/>
    <s v="Tablet"/>
    <s v="Frank"/>
    <n v="9"/>
    <n v="1033"/>
    <x v="2"/>
    <n v="9297"/>
    <n v="5763.5538969999998"/>
    <n v="3533.4461030000002"/>
    <n v="0.380063042164139"/>
  </r>
  <r>
    <x v="354"/>
    <s v="South"/>
    <s v="Headphones"/>
    <s v="Alice"/>
    <n v="6"/>
    <n v="1661"/>
    <x v="0"/>
    <n v="9966"/>
    <n v="7273.5252620000001"/>
    <n v="2692.4747379999999"/>
    <n v="0.2701660383303231"/>
  </r>
  <r>
    <x v="127"/>
    <s v="East"/>
    <s v="Headphones"/>
    <s v="David"/>
    <n v="3"/>
    <n v="1333"/>
    <x v="0"/>
    <n v="3999"/>
    <n v="3227.0514480000002"/>
    <n v="771.94855159999997"/>
    <n v="0.19303539674918729"/>
  </r>
  <r>
    <x v="135"/>
    <s v="North"/>
    <s v="Tablet"/>
    <s v="Alice"/>
    <n v="6"/>
    <n v="703"/>
    <x v="2"/>
    <n v="4218"/>
    <n v="3249.2449240000001"/>
    <n v="968.75507579999999"/>
    <n v="0.22967166330014224"/>
  </r>
  <r>
    <x v="3"/>
    <s v="North"/>
    <s v="Smartwatch"/>
    <s v="Grace"/>
    <n v="7"/>
    <n v="1760"/>
    <x v="0"/>
    <n v="12320"/>
    <n v="8980.0119840000007"/>
    <n v="3339.9880159999998"/>
    <n v="0.27110292337662334"/>
  </r>
  <r>
    <x v="31"/>
    <s v="South"/>
    <s v="Printer"/>
    <s v="Charlie"/>
    <n v="1"/>
    <n v="1114"/>
    <x v="1"/>
    <n v="1114"/>
    <n v="941.81321309999998"/>
    <n v="172.18678689999999"/>
    <n v="0.15456623599640931"/>
  </r>
  <r>
    <x v="251"/>
    <s v="West"/>
    <s v="Tablet"/>
    <s v="Frank"/>
    <n v="1"/>
    <n v="1196"/>
    <x v="2"/>
    <n v="1196"/>
    <n v="1002.640577"/>
    <n v="193.35942299999999"/>
    <n v="0.161671758361204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0" firstDataRow="1" firstDataCol="1"/>
  <pivotFields count="12">
    <pivotField axis="axisRow" numFmtId="14" showAll="0">
      <items count="15">
        <item x="0"/>
        <item x="1"/>
        <item x="2"/>
        <item x="3"/>
        <item x="4"/>
        <item x="5"/>
        <item x="6"/>
        <item x="7"/>
        <item x="8"/>
        <item x="9"/>
        <item x="10"/>
        <item x="11"/>
        <item x="12"/>
        <item x="13"/>
        <item t="default"/>
      </items>
    </pivotField>
    <pivotField showAll="0"/>
    <pivotField showAll="0"/>
    <pivotField showAll="0"/>
    <pivotField numFmtId="1" showAll="0"/>
    <pivotField numFmtId="1" showAll="0"/>
    <pivotField showAll="0"/>
    <pivotField dataField="1" showAll="0"/>
    <pivotField showAll="0"/>
    <pivotField dataField="1" showAll="0"/>
    <pivotField numFmtId="10" showAll="0"/>
    <pivotField axis="axisRow" showAll="0" defaultSubtotal="0">
      <items count="6">
        <item x="0"/>
        <item x="1"/>
        <item x="2"/>
        <item x="3"/>
        <item x="4"/>
        <item x="5"/>
      </items>
    </pivotField>
  </pivotFields>
  <rowFields count="2">
    <field x="11"/>
    <field x="0"/>
  </rowFields>
  <rowItems count="17">
    <i>
      <x v="1"/>
    </i>
    <i r="1">
      <x v="1"/>
    </i>
    <i r="1">
      <x v="2"/>
    </i>
    <i r="1">
      <x v="3"/>
    </i>
    <i>
      <x v="2"/>
    </i>
    <i r="1">
      <x v="4"/>
    </i>
    <i r="1">
      <x v="5"/>
    </i>
    <i r="1">
      <x v="6"/>
    </i>
    <i>
      <x v="3"/>
    </i>
    <i r="1">
      <x v="7"/>
    </i>
    <i r="1">
      <x v="8"/>
    </i>
    <i r="1">
      <x v="9"/>
    </i>
    <i>
      <x v="4"/>
    </i>
    <i r="1">
      <x v="10"/>
    </i>
    <i r="1">
      <x v="11"/>
    </i>
    <i r="1">
      <x v="12"/>
    </i>
    <i t="grand">
      <x/>
    </i>
  </rowItems>
  <colFields count="1">
    <field x="-2"/>
  </colFields>
  <colItems count="2">
    <i>
      <x/>
    </i>
    <i i="1">
      <x v="1"/>
    </i>
  </colItems>
  <dataFields count="2">
    <dataField name="Sum of Revenue"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Month">
  <location ref="A3:C20" firstHeaderRow="0" firstDataRow="1" firstDataCol="1"/>
  <pivotFields count="12">
    <pivotField axis="axisRow" numFmtId="14" showAll="0">
      <items count="15">
        <item x="0"/>
        <item x="1"/>
        <item x="2"/>
        <item x="3"/>
        <item x="4"/>
        <item x="5"/>
        <item x="6"/>
        <item x="7"/>
        <item x="8"/>
        <item x="9"/>
        <item x="10"/>
        <item x="11"/>
        <item x="12"/>
        <item x="13"/>
        <item t="default"/>
      </items>
    </pivotField>
    <pivotField showAll="0"/>
    <pivotField showAll="0"/>
    <pivotField showAll="0"/>
    <pivotField numFmtId="1" showAll="0"/>
    <pivotField numFmtId="1" showAll="0"/>
    <pivotField showAll="0"/>
    <pivotField dataField="1" showAll="0"/>
    <pivotField showAll="0"/>
    <pivotField dataField="1" showAll="0"/>
    <pivotField numFmtId="10" showAll="0"/>
    <pivotField axis="axisRow" showAll="0" defaultSubtotal="0">
      <items count="6">
        <item x="0"/>
        <item x="1"/>
        <item x="2"/>
        <item x="3"/>
        <item x="4"/>
        <item x="5"/>
      </items>
    </pivotField>
  </pivotFields>
  <rowFields count="2">
    <field x="11"/>
    <field x="0"/>
  </rowFields>
  <rowItems count="17">
    <i>
      <x v="1"/>
    </i>
    <i r="1">
      <x v="1"/>
    </i>
    <i r="1">
      <x v="2"/>
    </i>
    <i r="1">
      <x v="3"/>
    </i>
    <i>
      <x v="2"/>
    </i>
    <i r="1">
      <x v="4"/>
    </i>
    <i r="1">
      <x v="5"/>
    </i>
    <i r="1">
      <x v="6"/>
    </i>
    <i>
      <x v="3"/>
    </i>
    <i r="1">
      <x v="7"/>
    </i>
    <i r="1">
      <x v="8"/>
    </i>
    <i r="1">
      <x v="9"/>
    </i>
    <i>
      <x v="4"/>
    </i>
    <i r="1">
      <x v="10"/>
    </i>
    <i r="1">
      <x v="11"/>
    </i>
    <i r="1">
      <x v="12"/>
    </i>
    <i t="grand">
      <x/>
    </i>
  </rowItems>
  <colFields count="1">
    <field x="-2"/>
  </colFields>
  <colItems count="2">
    <i>
      <x/>
    </i>
    <i i="1">
      <x v="1"/>
    </i>
  </colItems>
  <dataFields count="2">
    <dataField name="Sum of Profit" fld="9" baseField="0" baseItem="0"/>
    <dataField name="Sum of Revenue" fld="7" baseField="0" baseItem="0"/>
  </dataFields>
  <chartFormats count="2">
    <chartFormat chart="1"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Month">
  <location ref="A3:B20" firstHeaderRow="1" firstDataRow="1" firstDataCol="1"/>
  <pivotFields count="12">
    <pivotField axis="axisRow" numFmtId="14" showAll="0">
      <items count="15">
        <item x="0"/>
        <item x="1"/>
        <item x="2"/>
        <item x="3"/>
        <item x="4"/>
        <item x="5"/>
        <item x="6"/>
        <item x="7"/>
        <item x="8"/>
        <item x="9"/>
        <item x="10"/>
        <item x="11"/>
        <item x="12"/>
        <item x="13"/>
        <item t="default"/>
      </items>
    </pivotField>
    <pivotField showAll="0"/>
    <pivotField showAll="0"/>
    <pivotField showAll="0"/>
    <pivotField dataField="1" numFmtId="1" showAll="0"/>
    <pivotField numFmtId="1" showAll="0"/>
    <pivotField showAll="0"/>
    <pivotField showAll="0"/>
    <pivotField showAll="0"/>
    <pivotField showAll="0"/>
    <pivotField numFmtId="10" showAll="0"/>
    <pivotField axis="axisRow" showAll="0" defaultSubtotal="0">
      <items count="6">
        <item x="0"/>
        <item x="1"/>
        <item x="2"/>
        <item x="3"/>
        <item x="4"/>
        <item x="5"/>
      </items>
    </pivotField>
  </pivotFields>
  <rowFields count="2">
    <field x="11"/>
    <field x="0"/>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Sum of Units_Sold" fld="4" baseField="0" baseItem="0"/>
  </dataFields>
  <chartFormats count="4">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ategory">
  <location ref="A3:C7" firstHeaderRow="0" firstDataRow="1" firstDataCol="1"/>
  <pivotFields count="12">
    <pivotField numFmtId="14" showAll="0">
      <items count="15">
        <item x="0"/>
        <item x="1"/>
        <item x="2"/>
        <item x="3"/>
        <item x="4"/>
        <item x="5"/>
        <item x="6"/>
        <item x="7"/>
        <item x="8"/>
        <item x="9"/>
        <item x="10"/>
        <item x="11"/>
        <item x="12"/>
        <item x="13"/>
        <item t="default"/>
      </items>
    </pivotField>
    <pivotField showAll="0"/>
    <pivotField showAll="0"/>
    <pivotField showAll="0"/>
    <pivotField numFmtId="1" showAll="0"/>
    <pivotField numFmtId="1" showAll="0"/>
    <pivotField axis="axisRow" showAll="0">
      <items count="4">
        <item x="0"/>
        <item x="2"/>
        <item x="1"/>
        <item t="default"/>
      </items>
    </pivotField>
    <pivotField dataField="1" showAll="0"/>
    <pivotField showAll="0"/>
    <pivotField dataField="1" showAll="0"/>
    <pivotField numFmtId="10" showAll="0"/>
    <pivotField showAll="0" defaultSubtotal="0">
      <items count="6">
        <item x="0"/>
        <item x="1"/>
        <item x="2"/>
        <item x="3"/>
        <item x="4"/>
        <item x="5"/>
      </items>
    </pivotField>
  </pivotFields>
  <rowFields count="1">
    <field x="6"/>
  </rowFields>
  <rowItems count="4">
    <i>
      <x/>
    </i>
    <i>
      <x v="1"/>
    </i>
    <i>
      <x v="2"/>
    </i>
    <i t="grand">
      <x/>
    </i>
  </rowItems>
  <colFields count="1">
    <field x="-2"/>
  </colFields>
  <colItems count="2">
    <i>
      <x/>
    </i>
    <i i="1">
      <x v="1"/>
    </i>
  </colItems>
  <dataFields count="2">
    <dataField name="Sum of Revenue"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Quarters" sourceName="Quarters">
  <pivotTables>
    <pivotTable tabId="6" name="PivotTable1"/>
    <pivotTable tabId="8" name="PivotTable1"/>
    <pivotTable tabId="9" name="PivotTable1"/>
    <pivotTable tabId="7" name="PivotTable2"/>
  </pivotTables>
  <data>
    <tabular pivotCacheId="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Quarters" cache="Slicer_Quarters" caption="Quarter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Quarters 1" cache="Slicer_Quarters" caption="Quarters" rowHeight="241300"/>
</slicers>
</file>

<file path=xl/tables/table1.xml><?xml version="1.0" encoding="utf-8"?>
<table xmlns="http://schemas.openxmlformats.org/spreadsheetml/2006/main" id="1" name="Table1" displayName="Table1" ref="A1:K1922" totalsRowShown="0">
  <autoFilter ref="A1:K1922"/>
  <tableColumns count="11">
    <tableColumn id="1" name="Date" dataDxfId="7"/>
    <tableColumn id="2" name="Region" dataDxfId="6"/>
    <tableColumn id="3" name="Product" dataDxfId="5"/>
    <tableColumn id="4" name="Salesperson" dataDxfId="4"/>
    <tableColumn id="5" name="Units_Sold" dataDxfId="3"/>
    <tableColumn id="6" name="Unit_Price" dataDxfId="2"/>
    <tableColumn id="7" name="Category" dataDxfId="1"/>
    <tableColumn id="8" name="Revenue"/>
    <tableColumn id="9" name="Cost"/>
    <tableColumn id="10" name="Profit"/>
    <tableColumn id="16" name="Margin %" dataDxfId="0">
      <calculatedColumnFormula>IF(Table1[[#This Row],[Revenue]]=0, 0, Table1[[#This Row],[Profit]]/Table1[[#This Row],[Revenue]])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22"/>
  <sheetViews>
    <sheetView topLeftCell="A2" workbookViewId="0">
      <selection activeCell="D12" sqref="D12"/>
    </sheetView>
  </sheetViews>
  <sheetFormatPr defaultRowHeight="14.5" x14ac:dyDescent="0.35"/>
  <cols>
    <col min="1" max="1" width="15" style="1" customWidth="1"/>
    <col min="2" max="2" width="8.7265625" style="3"/>
    <col min="3" max="3" width="12.7265625" style="3" customWidth="1"/>
    <col min="4" max="4" width="12.81640625" style="3" customWidth="1"/>
    <col min="5" max="5" width="11.7265625" style="4" customWidth="1"/>
    <col min="6" max="6" width="11.453125" style="4" customWidth="1"/>
    <col min="7" max="7" width="10.26953125" style="3" customWidth="1"/>
    <col min="8" max="8" width="10" customWidth="1"/>
    <col min="10" max="10" width="9.36328125" bestFit="1" customWidth="1"/>
    <col min="11" max="11" width="8.7265625" style="5"/>
  </cols>
  <sheetData>
    <row r="1" spans="1:11" x14ac:dyDescent="0.35">
      <c r="A1" s="1" t="s">
        <v>0</v>
      </c>
      <c r="B1" s="3" t="s">
        <v>1</v>
      </c>
      <c r="C1" s="3" t="s">
        <v>2</v>
      </c>
      <c r="D1" s="3" t="s">
        <v>3</v>
      </c>
      <c r="E1" s="4" t="s">
        <v>4</v>
      </c>
      <c r="F1" s="4" t="s">
        <v>5</v>
      </c>
      <c r="G1" s="3" t="s">
        <v>6</v>
      </c>
      <c r="H1" t="s">
        <v>7</v>
      </c>
      <c r="I1" t="s">
        <v>8</v>
      </c>
      <c r="J1" t="s">
        <v>9</v>
      </c>
      <c r="K1" s="5" t="s">
        <v>45</v>
      </c>
    </row>
    <row r="2" spans="1:11" x14ac:dyDescent="0.35">
      <c r="A2" s="1">
        <v>45394</v>
      </c>
      <c r="B2" s="3" t="s">
        <v>10</v>
      </c>
      <c r="C2" s="3" t="s">
        <v>11</v>
      </c>
      <c r="D2" s="3" t="s">
        <v>12</v>
      </c>
      <c r="E2" s="4">
        <v>15</v>
      </c>
      <c r="F2" s="4">
        <v>1224</v>
      </c>
      <c r="G2" s="3" t="s">
        <v>13</v>
      </c>
      <c r="H2">
        <v>18360</v>
      </c>
      <c r="I2">
        <v>16451.634259999999</v>
      </c>
      <c r="J2" s="2">
        <v>1908.365742</v>
      </c>
      <c r="K2" s="5">
        <f>IF(Table1[[#This Row],[Revenue]]=0, 0, Table1[[#This Row],[Profit]]/Table1[[#This Row],[Revenue]])</f>
        <v>0.10394148921568627</v>
      </c>
    </row>
    <row r="3" spans="1:11" x14ac:dyDescent="0.35">
      <c r="A3" s="1">
        <v>45640</v>
      </c>
      <c r="B3" s="3" t="s">
        <v>10</v>
      </c>
      <c r="C3" s="3" t="s">
        <v>14</v>
      </c>
      <c r="D3" s="3" t="s">
        <v>15</v>
      </c>
      <c r="E3" s="4">
        <v>5</v>
      </c>
      <c r="F3" s="4">
        <v>1321</v>
      </c>
      <c r="G3" s="3" t="s">
        <v>16</v>
      </c>
      <c r="H3">
        <v>6605</v>
      </c>
      <c r="I3">
        <v>4457.3517270000002</v>
      </c>
      <c r="J3" s="2">
        <v>2147.6482729999998</v>
      </c>
      <c r="K3" s="5">
        <f>IF(Table1[[#This Row],[Revenue]]=0, 0, Table1[[#This Row],[Profit]]/Table1[[#This Row],[Revenue]])</f>
        <v>0.32515492399697193</v>
      </c>
    </row>
    <row r="4" spans="1:11" x14ac:dyDescent="0.35">
      <c r="A4" s="1">
        <v>45562</v>
      </c>
      <c r="B4" s="3" t="s">
        <v>10</v>
      </c>
      <c r="C4" s="3" t="s">
        <v>17</v>
      </c>
      <c r="D4" s="3" t="s">
        <v>18</v>
      </c>
      <c r="E4" s="4">
        <v>11</v>
      </c>
      <c r="F4" s="4">
        <v>912</v>
      </c>
      <c r="G4" s="3" t="s">
        <v>19</v>
      </c>
      <c r="H4">
        <v>10032</v>
      </c>
      <c r="I4">
        <v>6563.6441260000001</v>
      </c>
      <c r="J4" s="2">
        <v>3468.3558739999999</v>
      </c>
      <c r="K4" s="5">
        <f>IF(Table1[[#This Row],[Revenue]]=0, 0, Table1[[#This Row],[Profit]]/Table1[[#This Row],[Revenue]])</f>
        <v>0.34572925378787878</v>
      </c>
    </row>
    <row r="5" spans="1:11" x14ac:dyDescent="0.35">
      <c r="A5" s="1">
        <v>45398</v>
      </c>
      <c r="B5" s="3" t="s">
        <v>20</v>
      </c>
      <c r="C5" s="3" t="s">
        <v>14</v>
      </c>
      <c r="D5" s="3" t="s">
        <v>21</v>
      </c>
      <c r="E5" s="4">
        <v>18</v>
      </c>
      <c r="F5" s="4">
        <v>325</v>
      </c>
      <c r="G5" s="3" t="s">
        <v>16</v>
      </c>
      <c r="H5">
        <v>5850</v>
      </c>
      <c r="I5">
        <v>4320.807092</v>
      </c>
      <c r="J5" s="2">
        <v>1529.192908</v>
      </c>
      <c r="K5" s="5">
        <f>IF(Table1[[#This Row],[Revenue]]=0, 0, Table1[[#This Row],[Profit]]/Table1[[#This Row],[Revenue]])</f>
        <v>0.26140049709401708</v>
      </c>
    </row>
    <row r="6" spans="1:11" x14ac:dyDescent="0.35">
      <c r="A6" s="1">
        <v>45363</v>
      </c>
      <c r="B6" s="3" t="s">
        <v>20</v>
      </c>
      <c r="C6" s="3" t="s">
        <v>22</v>
      </c>
      <c r="D6" s="3" t="s">
        <v>15</v>
      </c>
      <c r="E6" s="4">
        <v>13</v>
      </c>
      <c r="F6" s="4">
        <v>1042</v>
      </c>
      <c r="G6" s="3" t="s">
        <v>13</v>
      </c>
      <c r="H6">
        <v>13546</v>
      </c>
      <c r="I6">
        <v>8270.1226659999993</v>
      </c>
      <c r="J6" s="2">
        <v>5275.8773339999998</v>
      </c>
      <c r="K6" s="5">
        <f>IF(Table1[[#This Row],[Revenue]]=0, 0, Table1[[#This Row],[Profit]]/Table1[[#This Row],[Revenue]])</f>
        <v>0.38947861612284068</v>
      </c>
    </row>
    <row r="7" spans="1:11" x14ac:dyDescent="0.35">
      <c r="A7" s="1">
        <v>45480</v>
      </c>
      <c r="B7" s="3" t="s">
        <v>20</v>
      </c>
      <c r="C7" s="3" t="s">
        <v>14</v>
      </c>
      <c r="D7" s="3" t="s">
        <v>21</v>
      </c>
      <c r="E7" s="4">
        <v>11</v>
      </c>
      <c r="F7" s="4">
        <v>562</v>
      </c>
      <c r="G7" s="3" t="s">
        <v>16</v>
      </c>
      <c r="H7">
        <v>6182</v>
      </c>
      <c r="I7">
        <v>5177.5199830000001</v>
      </c>
      <c r="J7">
        <v>1004.480017</v>
      </c>
      <c r="K7" s="5">
        <f>IF(Table1[[#This Row],[Revenue]]=0, 0, Table1[[#This Row],[Profit]]/Table1[[#This Row],[Revenue]])</f>
        <v>0.16248463555483661</v>
      </c>
    </row>
    <row r="8" spans="1:11" x14ac:dyDescent="0.35">
      <c r="A8" s="1">
        <v>45312</v>
      </c>
      <c r="B8" s="3" t="s">
        <v>20</v>
      </c>
      <c r="C8" s="3" t="s">
        <v>22</v>
      </c>
      <c r="D8" s="3" t="s">
        <v>21</v>
      </c>
      <c r="E8" s="4">
        <v>14</v>
      </c>
      <c r="F8" s="4">
        <v>336</v>
      </c>
      <c r="G8" s="3" t="s">
        <v>13</v>
      </c>
      <c r="H8">
        <v>4704</v>
      </c>
      <c r="I8">
        <v>4069.5621099999998</v>
      </c>
      <c r="J8" s="2">
        <v>634.43788959999995</v>
      </c>
      <c r="K8" s="5">
        <f>IF(Table1[[#This Row],[Revenue]]=0, 0, Table1[[#This Row],[Profit]]/Table1[[#This Row],[Revenue]])</f>
        <v>0.13487200034013605</v>
      </c>
    </row>
    <row r="9" spans="1:11" x14ac:dyDescent="0.35">
      <c r="A9" s="1">
        <v>45394</v>
      </c>
      <c r="B9" s="3" t="s">
        <v>23</v>
      </c>
      <c r="C9" s="3" t="s">
        <v>24</v>
      </c>
      <c r="D9" s="3" t="s">
        <v>25</v>
      </c>
      <c r="E9" s="4">
        <v>18</v>
      </c>
      <c r="F9" s="4">
        <v>1149</v>
      </c>
      <c r="G9" s="3" t="s">
        <v>19</v>
      </c>
      <c r="H9">
        <v>20682</v>
      </c>
      <c r="I9">
        <v>16665.801909999998</v>
      </c>
      <c r="J9" s="2">
        <v>4016.198085</v>
      </c>
      <c r="K9" s="5">
        <f>IF(Table1[[#This Row],[Revenue]]=0, 0, Table1[[#This Row],[Profit]]/Table1[[#This Row],[Revenue]])</f>
        <v>0.19418809036843632</v>
      </c>
    </row>
    <row r="10" spans="1:11" x14ac:dyDescent="0.35">
      <c r="A10" s="1">
        <v>45413</v>
      </c>
      <c r="B10" s="3" t="s">
        <v>23</v>
      </c>
      <c r="C10" s="3" t="s">
        <v>26</v>
      </c>
      <c r="D10" s="3" t="s">
        <v>25</v>
      </c>
      <c r="E10" s="4">
        <v>19</v>
      </c>
      <c r="F10" s="4">
        <v>1244</v>
      </c>
      <c r="G10" s="3" t="s">
        <v>19</v>
      </c>
      <c r="H10">
        <v>23636</v>
      </c>
      <c r="I10">
        <v>16081.89912</v>
      </c>
      <c r="J10" s="2">
        <v>7554.10088</v>
      </c>
      <c r="K10" s="5">
        <f>IF(Table1[[#This Row],[Revenue]]=0, 0, Table1[[#This Row],[Profit]]/Table1[[#This Row],[Revenue]])</f>
        <v>0.31960149263834831</v>
      </c>
    </row>
    <row r="11" spans="1:11" x14ac:dyDescent="0.35">
      <c r="A11" s="1">
        <v>45506</v>
      </c>
      <c r="B11" s="3" t="s">
        <v>27</v>
      </c>
      <c r="C11" s="3" t="s">
        <v>28</v>
      </c>
      <c r="D11" s="3" t="s">
        <v>12</v>
      </c>
      <c r="E11" s="4">
        <v>15</v>
      </c>
      <c r="F11" s="4">
        <v>605</v>
      </c>
      <c r="G11" s="3" t="s">
        <v>16</v>
      </c>
      <c r="H11">
        <v>9075</v>
      </c>
      <c r="I11">
        <v>5780.2907779999996</v>
      </c>
      <c r="J11" s="2">
        <v>3294.709222</v>
      </c>
      <c r="K11" s="5">
        <f>IF(Table1[[#This Row],[Revenue]]=0, 0, Table1[[#This Row],[Profit]]/Table1[[#This Row],[Revenue]])</f>
        <v>0.36305335779614323</v>
      </c>
    </row>
    <row r="12" spans="1:11" x14ac:dyDescent="0.35">
      <c r="A12" s="1">
        <v>45622</v>
      </c>
      <c r="B12" s="3" t="s">
        <v>20</v>
      </c>
      <c r="C12" s="3" t="s">
        <v>22</v>
      </c>
      <c r="D12" s="3" t="s">
        <v>44</v>
      </c>
      <c r="E12" s="4">
        <v>9</v>
      </c>
      <c r="F12" s="4">
        <v>1305</v>
      </c>
      <c r="G12" s="3" t="s">
        <v>13</v>
      </c>
      <c r="H12">
        <v>11745</v>
      </c>
      <c r="I12">
        <v>8393.4850459999998</v>
      </c>
      <c r="J12" s="2">
        <v>3351.5149540000002</v>
      </c>
      <c r="K12" s="5">
        <f>IF(Table1[[#This Row],[Revenue]]=0, 0, Table1[[#This Row],[Profit]]/Table1[[#This Row],[Revenue]])</f>
        <v>0.2853567436355896</v>
      </c>
    </row>
    <row r="13" spans="1:11" x14ac:dyDescent="0.35">
      <c r="A13" s="1">
        <v>45379</v>
      </c>
      <c r="B13" s="3" t="s">
        <v>23</v>
      </c>
      <c r="C13" s="3" t="s">
        <v>26</v>
      </c>
      <c r="D13" s="3" t="s">
        <v>15</v>
      </c>
      <c r="E13" s="4">
        <v>8</v>
      </c>
      <c r="F13" s="4">
        <v>1834</v>
      </c>
      <c r="G13" s="3" t="s">
        <v>19</v>
      </c>
      <c r="H13">
        <v>14672</v>
      </c>
      <c r="I13">
        <v>12471.210069999999</v>
      </c>
      <c r="J13">
        <v>2200.789933</v>
      </c>
      <c r="K13" s="5">
        <f>IF(Table1[[#This Row],[Revenue]]=0, 0, Table1[[#This Row],[Profit]]/Table1[[#This Row],[Revenue]])</f>
        <v>0.14999931386314067</v>
      </c>
    </row>
    <row r="14" spans="1:11" x14ac:dyDescent="0.35">
      <c r="A14" s="1">
        <v>45391</v>
      </c>
      <c r="B14" s="3" t="s">
        <v>10</v>
      </c>
      <c r="C14" s="3" t="s">
        <v>11</v>
      </c>
      <c r="D14" s="3" t="s">
        <v>29</v>
      </c>
      <c r="E14" s="4">
        <v>1</v>
      </c>
      <c r="F14" s="4">
        <v>913</v>
      </c>
      <c r="G14" s="3" t="s">
        <v>13</v>
      </c>
      <c r="H14">
        <v>913</v>
      </c>
      <c r="I14">
        <v>643.07003550000002</v>
      </c>
      <c r="J14">
        <v>269.92996449999998</v>
      </c>
      <c r="K14" s="5">
        <f>IF(Table1[[#This Row],[Revenue]]=0, 0, Table1[[#This Row],[Profit]]/Table1[[#This Row],[Revenue]])</f>
        <v>0.29565165881708649</v>
      </c>
    </row>
    <row r="15" spans="1:11" x14ac:dyDescent="0.35">
      <c r="A15" s="1">
        <v>45651</v>
      </c>
      <c r="B15" s="3" t="s">
        <v>20</v>
      </c>
      <c r="C15" s="3" t="s">
        <v>17</v>
      </c>
      <c r="D15" s="3" t="s">
        <v>21</v>
      </c>
      <c r="E15" s="4">
        <v>4</v>
      </c>
      <c r="F15" s="4">
        <v>866</v>
      </c>
      <c r="G15" s="3" t="s">
        <v>19</v>
      </c>
      <c r="H15">
        <v>3464</v>
      </c>
      <c r="I15">
        <v>2113.9973530000002</v>
      </c>
      <c r="J15" s="2">
        <v>1350.002647</v>
      </c>
      <c r="K15" s="5">
        <f>IF(Table1[[#This Row],[Revenue]]=0, 0, Table1[[#This Row],[Profit]]/Table1[[#This Row],[Revenue]])</f>
        <v>0.38972362788683601</v>
      </c>
    </row>
    <row r="16" spans="1:11" x14ac:dyDescent="0.35">
      <c r="A16" s="1">
        <v>45422</v>
      </c>
      <c r="B16" s="3" t="s">
        <v>27</v>
      </c>
      <c r="C16" s="3" t="s">
        <v>24</v>
      </c>
      <c r="D16" s="3" t="s">
        <v>21</v>
      </c>
      <c r="E16" s="4">
        <v>2</v>
      </c>
      <c r="F16" s="4">
        <v>1666</v>
      </c>
      <c r="G16" s="3" t="s">
        <v>19</v>
      </c>
      <c r="H16">
        <v>3332</v>
      </c>
      <c r="I16">
        <v>2988.749632</v>
      </c>
      <c r="J16">
        <v>343.25036820000003</v>
      </c>
      <c r="K16" s="5">
        <f>IF(Table1[[#This Row],[Revenue]]=0, 0, Table1[[#This Row],[Profit]]/Table1[[#This Row],[Revenue]])</f>
        <v>0.10301631698679473</v>
      </c>
    </row>
    <row r="17" spans="1:11" x14ac:dyDescent="0.35">
      <c r="A17" s="1">
        <v>45441</v>
      </c>
      <c r="B17" s="3" t="s">
        <v>27</v>
      </c>
      <c r="C17" s="3" t="s">
        <v>14</v>
      </c>
      <c r="D17" s="3" t="s">
        <v>21</v>
      </c>
      <c r="E17" s="4">
        <v>16</v>
      </c>
      <c r="F17" s="4">
        <v>1438</v>
      </c>
      <c r="G17" s="3" t="s">
        <v>16</v>
      </c>
      <c r="H17">
        <v>23008</v>
      </c>
      <c r="I17">
        <v>18475.438419999999</v>
      </c>
      <c r="J17">
        <v>4532.5615809999999</v>
      </c>
      <c r="K17" s="5">
        <f>IF(Table1[[#This Row],[Revenue]]=0, 0, Table1[[#This Row],[Profit]]/Table1[[#This Row],[Revenue]])</f>
        <v>0.19699937330493741</v>
      </c>
    </row>
    <row r="18" spans="1:11" x14ac:dyDescent="0.35">
      <c r="A18" s="1">
        <v>45600</v>
      </c>
      <c r="B18" s="3" t="s">
        <v>10</v>
      </c>
      <c r="C18" s="3" t="s">
        <v>14</v>
      </c>
      <c r="D18" s="3" t="s">
        <v>15</v>
      </c>
      <c r="E18" s="4">
        <v>3</v>
      </c>
      <c r="F18" s="4">
        <v>1090</v>
      </c>
      <c r="G18" s="3" t="s">
        <v>16</v>
      </c>
      <c r="H18">
        <v>3270</v>
      </c>
      <c r="I18">
        <v>2845.7385880000002</v>
      </c>
      <c r="J18">
        <v>424.26141180000002</v>
      </c>
      <c r="K18" s="5">
        <f>IF(Table1[[#This Row],[Revenue]]=0, 0, Table1[[#This Row],[Profit]]/Table1[[#This Row],[Revenue]])</f>
        <v>0.12974355100917431</v>
      </c>
    </row>
    <row r="19" spans="1:11" x14ac:dyDescent="0.35">
      <c r="A19" s="1">
        <v>45549</v>
      </c>
      <c r="B19" s="3" t="s">
        <v>23</v>
      </c>
      <c r="C19" s="3" t="s">
        <v>31</v>
      </c>
      <c r="D19" s="3" t="s">
        <v>21</v>
      </c>
      <c r="E19" s="4">
        <v>8</v>
      </c>
      <c r="F19" s="4">
        <v>1920</v>
      </c>
      <c r="G19" s="3" t="s">
        <v>19</v>
      </c>
      <c r="H19">
        <v>15360</v>
      </c>
      <c r="I19">
        <v>12786.57915</v>
      </c>
      <c r="J19">
        <v>2573.4208469999999</v>
      </c>
      <c r="K19" s="5">
        <f>IF(Table1[[#This Row],[Revenue]]=0, 0, Table1[[#This Row],[Profit]]/Table1[[#This Row],[Revenue]])</f>
        <v>0.1675404197265625</v>
      </c>
    </row>
    <row r="20" spans="1:11" x14ac:dyDescent="0.35">
      <c r="A20" s="1">
        <v>45635</v>
      </c>
      <c r="B20" s="3" t="s">
        <v>10</v>
      </c>
      <c r="C20" s="3" t="s">
        <v>31</v>
      </c>
      <c r="D20" s="3" t="s">
        <v>32</v>
      </c>
      <c r="E20" s="4">
        <v>6</v>
      </c>
      <c r="F20" s="4">
        <v>717</v>
      </c>
      <c r="G20" s="3" t="s">
        <v>19</v>
      </c>
      <c r="H20">
        <v>4302</v>
      </c>
      <c r="I20">
        <v>3277.7439380000001</v>
      </c>
      <c r="J20">
        <v>1024.2560619999999</v>
      </c>
      <c r="K20" s="5">
        <f>IF(Table1[[#This Row],[Revenue]]=0, 0, Table1[[#This Row],[Profit]]/Table1[[#This Row],[Revenue]])</f>
        <v>0.23808834542073454</v>
      </c>
    </row>
    <row r="21" spans="1:11" x14ac:dyDescent="0.35">
      <c r="A21" s="1">
        <v>45585</v>
      </c>
      <c r="B21" s="3" t="s">
        <v>20</v>
      </c>
      <c r="C21" s="3" t="s">
        <v>31</v>
      </c>
      <c r="D21" s="3" t="s">
        <v>21</v>
      </c>
      <c r="E21" s="4">
        <v>16</v>
      </c>
      <c r="F21" s="4">
        <v>1859</v>
      </c>
      <c r="G21" s="3" t="s">
        <v>19</v>
      </c>
      <c r="H21">
        <v>29744</v>
      </c>
      <c r="I21">
        <v>19173.180550000001</v>
      </c>
      <c r="J21">
        <v>10570.819450000001</v>
      </c>
      <c r="K21" s="5">
        <f>IF(Table1[[#This Row],[Revenue]]=0, 0, Table1[[#This Row],[Profit]]/Table1[[#This Row],[Revenue]])</f>
        <v>0.3553933381522324</v>
      </c>
    </row>
    <row r="22" spans="1:11" x14ac:dyDescent="0.35">
      <c r="A22" s="1">
        <v>45483</v>
      </c>
      <c r="B22" s="3" t="s">
        <v>27</v>
      </c>
      <c r="C22" s="3" t="s">
        <v>11</v>
      </c>
      <c r="D22" s="3" t="s">
        <v>32</v>
      </c>
      <c r="E22" s="4">
        <v>16</v>
      </c>
      <c r="F22" s="4">
        <v>372</v>
      </c>
      <c r="G22" s="3" t="s">
        <v>13</v>
      </c>
      <c r="H22">
        <v>5952</v>
      </c>
      <c r="I22">
        <v>4193.7395809999998</v>
      </c>
      <c r="J22">
        <v>1758.260419</v>
      </c>
      <c r="K22" s="5">
        <f>IF(Table1[[#This Row],[Revenue]]=0, 0, Table1[[#This Row],[Profit]]/Table1[[#This Row],[Revenue]])</f>
        <v>0.29540665641801073</v>
      </c>
    </row>
    <row r="23" spans="1:11" x14ac:dyDescent="0.35">
      <c r="A23" s="1">
        <v>45568</v>
      </c>
      <c r="B23" s="3" t="s">
        <v>10</v>
      </c>
      <c r="C23" s="3" t="s">
        <v>22</v>
      </c>
      <c r="D23" s="3" t="s">
        <v>25</v>
      </c>
      <c r="E23" s="4">
        <v>7</v>
      </c>
      <c r="F23" s="4">
        <v>331</v>
      </c>
      <c r="G23" s="3" t="s">
        <v>13</v>
      </c>
      <c r="H23">
        <v>2317</v>
      </c>
      <c r="I23">
        <v>1795.9578309999999</v>
      </c>
      <c r="J23">
        <v>521.04216940000003</v>
      </c>
      <c r="K23" s="5">
        <f>IF(Table1[[#This Row],[Revenue]]=0, 0, Table1[[#This Row],[Profit]]/Table1[[#This Row],[Revenue]])</f>
        <v>0.22487793241260251</v>
      </c>
    </row>
    <row r="24" spans="1:11" x14ac:dyDescent="0.35">
      <c r="A24" s="1">
        <v>45452</v>
      </c>
      <c r="B24" s="3" t="s">
        <v>10</v>
      </c>
      <c r="C24" s="3" t="s">
        <v>17</v>
      </c>
      <c r="D24" s="3" t="s">
        <v>30</v>
      </c>
      <c r="E24" s="4">
        <v>13</v>
      </c>
      <c r="F24" s="4">
        <v>1543</v>
      </c>
      <c r="G24" s="3" t="s">
        <v>19</v>
      </c>
      <c r="H24">
        <v>20059</v>
      </c>
      <c r="I24">
        <v>17274.60428</v>
      </c>
      <c r="J24">
        <v>2784.3957150000001</v>
      </c>
      <c r="K24" s="5">
        <f>IF(Table1[[#This Row],[Revenue]]=0, 0, Table1[[#This Row],[Profit]]/Table1[[#This Row],[Revenue]])</f>
        <v>0.13881029537863304</v>
      </c>
    </row>
    <row r="25" spans="1:11" x14ac:dyDescent="0.35">
      <c r="A25" s="1">
        <v>45605</v>
      </c>
      <c r="B25" s="3" t="s">
        <v>23</v>
      </c>
      <c r="C25" s="3" t="s">
        <v>31</v>
      </c>
      <c r="D25" s="3" t="s">
        <v>12</v>
      </c>
      <c r="E25" s="4">
        <v>13</v>
      </c>
      <c r="F25" s="4">
        <v>867</v>
      </c>
      <c r="G25" s="3" t="s">
        <v>19</v>
      </c>
      <c r="H25">
        <v>11271</v>
      </c>
      <c r="I25">
        <v>7671.070933</v>
      </c>
      <c r="J25">
        <v>3599.929067</v>
      </c>
      <c r="K25" s="5">
        <f>IF(Table1[[#This Row],[Revenue]]=0, 0, Table1[[#This Row],[Profit]]/Table1[[#This Row],[Revenue]])</f>
        <v>0.3193974862035312</v>
      </c>
    </row>
    <row r="26" spans="1:11" x14ac:dyDescent="0.35">
      <c r="A26" s="1">
        <v>45313</v>
      </c>
      <c r="B26" s="3" t="s">
        <v>23</v>
      </c>
      <c r="C26" s="3" t="s">
        <v>24</v>
      </c>
      <c r="D26" s="3" t="s">
        <v>15</v>
      </c>
      <c r="E26" s="4">
        <v>5</v>
      </c>
      <c r="F26" s="4">
        <v>1565</v>
      </c>
      <c r="G26" s="3" t="s">
        <v>19</v>
      </c>
      <c r="H26">
        <v>7825</v>
      </c>
      <c r="I26">
        <v>4979.5800760000002</v>
      </c>
      <c r="J26">
        <v>2845.4199239999998</v>
      </c>
      <c r="K26" s="5">
        <f>IF(Table1[[#This Row],[Revenue]]=0, 0, Table1[[#This Row],[Profit]]/Table1[[#This Row],[Revenue]])</f>
        <v>0.36363193916932907</v>
      </c>
    </row>
    <row r="27" spans="1:11" x14ac:dyDescent="0.35">
      <c r="A27" s="1">
        <v>45544</v>
      </c>
      <c r="B27" s="3" t="s">
        <v>27</v>
      </c>
      <c r="C27" s="3" t="s">
        <v>24</v>
      </c>
      <c r="D27" s="3" t="s">
        <v>21</v>
      </c>
      <c r="E27" s="4">
        <v>18</v>
      </c>
      <c r="F27" s="4">
        <v>595</v>
      </c>
      <c r="G27" s="3" t="s">
        <v>19</v>
      </c>
      <c r="H27">
        <v>10710</v>
      </c>
      <c r="I27">
        <v>8221.5282360000001</v>
      </c>
      <c r="J27">
        <v>2488.4717639999999</v>
      </c>
      <c r="K27" s="5">
        <f>IF(Table1[[#This Row],[Revenue]]=0, 0, Table1[[#This Row],[Profit]]/Table1[[#This Row],[Revenue]])</f>
        <v>0.23235030476190474</v>
      </c>
    </row>
    <row r="28" spans="1:11" x14ac:dyDescent="0.35">
      <c r="A28" s="1">
        <v>45527</v>
      </c>
      <c r="B28" s="3" t="s">
        <v>10</v>
      </c>
      <c r="C28" s="3" t="s">
        <v>43</v>
      </c>
      <c r="D28" s="3" t="s">
        <v>32</v>
      </c>
      <c r="E28" s="4">
        <v>15</v>
      </c>
      <c r="F28" s="4">
        <v>1147</v>
      </c>
      <c r="G28" s="3" t="s">
        <v>19</v>
      </c>
      <c r="H28">
        <v>17205</v>
      </c>
      <c r="I28">
        <v>11234.011060000001</v>
      </c>
      <c r="J28">
        <v>5970.9889400000002</v>
      </c>
      <c r="K28" s="5">
        <f>IF(Table1[[#This Row],[Revenue]]=0, 0, Table1[[#This Row],[Profit]]/Table1[[#This Row],[Revenue]])</f>
        <v>0.3470496332461494</v>
      </c>
    </row>
    <row r="29" spans="1:11" x14ac:dyDescent="0.35">
      <c r="A29" s="1">
        <v>45636</v>
      </c>
      <c r="B29" s="3" t="s">
        <v>10</v>
      </c>
      <c r="C29" s="3" t="s">
        <v>14</v>
      </c>
      <c r="D29" s="3" t="s">
        <v>32</v>
      </c>
      <c r="E29" s="4">
        <v>18</v>
      </c>
      <c r="F29" s="4">
        <v>1232</v>
      </c>
      <c r="G29" s="3" t="s">
        <v>16</v>
      </c>
      <c r="H29">
        <v>22176</v>
      </c>
      <c r="I29">
        <v>17366.214779999998</v>
      </c>
      <c r="J29">
        <v>4809.7852210000001</v>
      </c>
      <c r="K29" s="5">
        <f>IF(Table1[[#This Row],[Revenue]]=0, 0, Table1[[#This Row],[Profit]]/Table1[[#This Row],[Revenue]])</f>
        <v>0.21689146920093796</v>
      </c>
    </row>
    <row r="30" spans="1:11" x14ac:dyDescent="0.35">
      <c r="A30" s="1">
        <v>45340</v>
      </c>
      <c r="B30" s="3" t="s">
        <v>23</v>
      </c>
      <c r="C30" s="3" t="s">
        <v>31</v>
      </c>
      <c r="D30" s="3" t="s">
        <v>25</v>
      </c>
      <c r="E30" s="4">
        <v>2</v>
      </c>
      <c r="F30" s="4">
        <v>1826</v>
      </c>
      <c r="G30" s="3" t="s">
        <v>19</v>
      </c>
      <c r="H30">
        <v>3652</v>
      </c>
      <c r="I30">
        <v>2479.914092</v>
      </c>
      <c r="J30">
        <v>1172.085908</v>
      </c>
      <c r="K30" s="5">
        <f>IF(Table1[[#This Row],[Revenue]]=0, 0, Table1[[#This Row],[Profit]]/Table1[[#This Row],[Revenue]])</f>
        <v>0.32094356736035051</v>
      </c>
    </row>
    <row r="31" spans="1:11" x14ac:dyDescent="0.35">
      <c r="A31" s="1">
        <v>45350</v>
      </c>
      <c r="B31" s="3" t="s">
        <v>10</v>
      </c>
      <c r="C31" s="3" t="s">
        <v>17</v>
      </c>
      <c r="D31" s="3" t="s">
        <v>32</v>
      </c>
      <c r="E31" s="4">
        <v>10</v>
      </c>
      <c r="F31" s="4">
        <v>601</v>
      </c>
      <c r="G31" s="3" t="s">
        <v>19</v>
      </c>
      <c r="H31">
        <v>6010</v>
      </c>
      <c r="I31">
        <v>4022.426297</v>
      </c>
      <c r="J31">
        <v>1987.573703</v>
      </c>
      <c r="K31" s="5">
        <f>IF(Table1[[#This Row],[Revenue]]=0, 0, Table1[[#This Row],[Profit]]/Table1[[#This Row],[Revenue]])</f>
        <v>0.33071109866888521</v>
      </c>
    </row>
    <row r="32" spans="1:11" x14ac:dyDescent="0.35">
      <c r="A32" s="1">
        <v>45461</v>
      </c>
      <c r="B32" s="3" t="s">
        <v>10</v>
      </c>
      <c r="C32" s="3" t="s">
        <v>31</v>
      </c>
      <c r="D32" s="3" t="s">
        <v>12</v>
      </c>
      <c r="E32" s="4">
        <v>13</v>
      </c>
      <c r="F32" s="4">
        <v>1982</v>
      </c>
      <c r="G32" s="3" t="s">
        <v>19</v>
      </c>
      <c r="H32">
        <v>25766</v>
      </c>
      <c r="I32">
        <v>18545.187480000001</v>
      </c>
      <c r="J32">
        <v>7220.8125229999996</v>
      </c>
      <c r="K32" s="5">
        <f>IF(Table1[[#This Row],[Revenue]]=0, 0, Table1[[#This Row],[Profit]]/Table1[[#This Row],[Revenue]])</f>
        <v>0.28024577051152683</v>
      </c>
    </row>
    <row r="33" spans="1:11" x14ac:dyDescent="0.35">
      <c r="A33" s="1">
        <v>45479</v>
      </c>
      <c r="B33" s="3" t="s">
        <v>10</v>
      </c>
      <c r="C33" s="3" t="s">
        <v>17</v>
      </c>
      <c r="D33" s="3" t="s">
        <v>18</v>
      </c>
      <c r="E33" s="4">
        <v>18</v>
      </c>
      <c r="F33" s="4">
        <v>124</v>
      </c>
      <c r="G33" s="3" t="s">
        <v>19</v>
      </c>
      <c r="H33">
        <v>2232</v>
      </c>
      <c r="I33">
        <v>1736.4012009999999</v>
      </c>
      <c r="J33">
        <v>495.59879910000001</v>
      </c>
      <c r="K33" s="5">
        <f>IF(Table1[[#This Row],[Revenue]]=0, 0, Table1[[#This Row],[Profit]]/Table1[[#This Row],[Revenue]])</f>
        <v>0.22204247271505376</v>
      </c>
    </row>
    <row r="34" spans="1:11" x14ac:dyDescent="0.35">
      <c r="A34" s="1">
        <v>45562</v>
      </c>
      <c r="B34" s="3" t="s">
        <v>23</v>
      </c>
      <c r="C34" s="3" t="s">
        <v>24</v>
      </c>
      <c r="D34" s="3" t="s">
        <v>29</v>
      </c>
      <c r="E34" s="4">
        <v>15</v>
      </c>
      <c r="F34" s="4">
        <v>1310</v>
      </c>
      <c r="G34" s="3" t="s">
        <v>19</v>
      </c>
      <c r="H34">
        <v>19650</v>
      </c>
      <c r="I34">
        <v>15004.64768</v>
      </c>
      <c r="J34">
        <v>4645.3523180000002</v>
      </c>
      <c r="K34" s="5">
        <f>IF(Table1[[#This Row],[Revenue]]=0, 0, Table1[[#This Row],[Profit]]/Table1[[#This Row],[Revenue]])</f>
        <v>0.23640469811704837</v>
      </c>
    </row>
    <row r="35" spans="1:11" x14ac:dyDescent="0.35">
      <c r="A35" s="1">
        <v>45466</v>
      </c>
      <c r="B35" s="3" t="s">
        <v>20</v>
      </c>
      <c r="C35" s="3" t="s">
        <v>11</v>
      </c>
      <c r="D35" s="3" t="s">
        <v>30</v>
      </c>
      <c r="E35" s="4">
        <v>15</v>
      </c>
      <c r="F35" s="4">
        <v>1751</v>
      </c>
      <c r="G35" s="3" t="s">
        <v>13</v>
      </c>
      <c r="H35">
        <v>26265</v>
      </c>
      <c r="I35">
        <v>22780.55384</v>
      </c>
      <c r="J35">
        <v>3484.446164</v>
      </c>
      <c r="K35" s="5">
        <f>IF(Table1[[#This Row],[Revenue]]=0, 0, Table1[[#This Row],[Profit]]/Table1[[#This Row],[Revenue]])</f>
        <v>0.1326649976775176</v>
      </c>
    </row>
    <row r="36" spans="1:11" x14ac:dyDescent="0.35">
      <c r="A36" s="1">
        <v>45342</v>
      </c>
      <c r="B36" s="3" t="s">
        <v>27</v>
      </c>
      <c r="C36" s="3" t="s">
        <v>28</v>
      </c>
      <c r="D36" s="3" t="s">
        <v>12</v>
      </c>
      <c r="E36" s="4">
        <v>13</v>
      </c>
      <c r="F36" s="4">
        <v>437</v>
      </c>
      <c r="G36" s="3" t="s">
        <v>16</v>
      </c>
      <c r="H36">
        <v>5681</v>
      </c>
      <c r="I36">
        <v>3595.8718410000001</v>
      </c>
      <c r="J36">
        <v>2085.1281589999999</v>
      </c>
      <c r="K36" s="5">
        <f>IF(Table1[[#This Row],[Revenue]]=0, 0, Table1[[#This Row],[Profit]]/Table1[[#This Row],[Revenue]])</f>
        <v>0.36703540908290794</v>
      </c>
    </row>
    <row r="37" spans="1:11" x14ac:dyDescent="0.35">
      <c r="A37" s="1">
        <v>45655</v>
      </c>
      <c r="B37" s="3" t="s">
        <v>20</v>
      </c>
      <c r="C37" s="3" t="s">
        <v>11</v>
      </c>
      <c r="D37" s="3" t="s">
        <v>25</v>
      </c>
      <c r="E37" s="4">
        <v>18</v>
      </c>
      <c r="F37" s="4">
        <v>1160</v>
      </c>
      <c r="G37" s="3" t="s">
        <v>13</v>
      </c>
      <c r="H37">
        <v>20880</v>
      </c>
      <c r="I37">
        <v>12775.224819999999</v>
      </c>
      <c r="J37">
        <v>8104.7751850000004</v>
      </c>
      <c r="K37" s="5">
        <f>IF(Table1[[#This Row],[Revenue]]=0, 0, Table1[[#This Row],[Profit]]/Table1[[#This Row],[Revenue]])</f>
        <v>0.3881597310823755</v>
      </c>
    </row>
    <row r="38" spans="1:11" x14ac:dyDescent="0.35">
      <c r="A38" s="1">
        <v>45346</v>
      </c>
      <c r="B38" s="3" t="s">
        <v>10</v>
      </c>
      <c r="C38" s="3" t="s">
        <v>24</v>
      </c>
      <c r="D38" s="3" t="s">
        <v>25</v>
      </c>
      <c r="E38" s="4">
        <v>15</v>
      </c>
      <c r="F38" s="4">
        <v>1917</v>
      </c>
      <c r="G38" s="3" t="s">
        <v>19</v>
      </c>
      <c r="H38">
        <v>28755</v>
      </c>
      <c r="I38">
        <v>22452.245630000001</v>
      </c>
      <c r="J38">
        <v>6302.7543669999995</v>
      </c>
      <c r="K38" s="5">
        <f>IF(Table1[[#This Row],[Revenue]]=0, 0, Table1[[#This Row],[Profit]]/Table1[[#This Row],[Revenue]])</f>
        <v>0.21918811917927317</v>
      </c>
    </row>
    <row r="39" spans="1:11" x14ac:dyDescent="0.35">
      <c r="A39" s="1">
        <v>45535</v>
      </c>
      <c r="B39" s="3" t="s">
        <v>27</v>
      </c>
      <c r="C39" s="3" t="s">
        <v>17</v>
      </c>
      <c r="D39" s="3" t="s">
        <v>12</v>
      </c>
      <c r="E39" s="4">
        <v>11</v>
      </c>
      <c r="F39" s="4">
        <v>236</v>
      </c>
      <c r="G39" s="3" t="s">
        <v>19</v>
      </c>
      <c r="H39">
        <v>2596</v>
      </c>
      <c r="I39">
        <v>1653.7095019999999</v>
      </c>
      <c r="J39">
        <v>942.29049750000001</v>
      </c>
      <c r="K39" s="5">
        <f>IF(Table1[[#This Row],[Revenue]]=0, 0, Table1[[#This Row],[Profit]]/Table1[[#This Row],[Revenue]])</f>
        <v>0.36297784957627122</v>
      </c>
    </row>
    <row r="40" spans="1:11" x14ac:dyDescent="0.35">
      <c r="A40" s="1">
        <v>45611</v>
      </c>
      <c r="B40" s="3" t="s">
        <v>20</v>
      </c>
      <c r="C40" s="3" t="s">
        <v>11</v>
      </c>
      <c r="D40" s="3" t="s">
        <v>21</v>
      </c>
      <c r="E40" s="4">
        <v>19</v>
      </c>
      <c r="F40" s="4">
        <v>607</v>
      </c>
      <c r="G40" s="3" t="s">
        <v>13</v>
      </c>
      <c r="H40">
        <v>11533</v>
      </c>
      <c r="I40">
        <v>8666.6717279999993</v>
      </c>
      <c r="J40">
        <v>2866.3282720000002</v>
      </c>
      <c r="K40" s="5">
        <f>IF(Table1[[#This Row],[Revenue]]=0, 0, Table1[[#This Row],[Profit]]/Table1[[#This Row],[Revenue]])</f>
        <v>0.24853275574438569</v>
      </c>
    </row>
    <row r="41" spans="1:11" x14ac:dyDescent="0.35">
      <c r="A41" s="1">
        <v>45422</v>
      </c>
      <c r="B41" s="3" t="s">
        <v>23</v>
      </c>
      <c r="C41" s="3" t="s">
        <v>17</v>
      </c>
      <c r="D41" s="3" t="s">
        <v>18</v>
      </c>
      <c r="E41" s="4">
        <v>3</v>
      </c>
      <c r="F41" s="4">
        <v>326</v>
      </c>
      <c r="G41" s="3" t="s">
        <v>19</v>
      </c>
      <c r="H41">
        <v>978</v>
      </c>
      <c r="I41">
        <v>866.05028159999995</v>
      </c>
      <c r="J41">
        <v>111.94971839999999</v>
      </c>
      <c r="K41" s="5">
        <f>IF(Table1[[#This Row],[Revenue]]=0, 0, Table1[[#This Row],[Profit]]/Table1[[#This Row],[Revenue]])</f>
        <v>0.11446801472392637</v>
      </c>
    </row>
    <row r="42" spans="1:11" x14ac:dyDescent="0.35">
      <c r="A42" s="1">
        <v>45598</v>
      </c>
      <c r="B42" s="3" t="s">
        <v>23</v>
      </c>
      <c r="C42" s="3" t="s">
        <v>11</v>
      </c>
      <c r="D42" s="3" t="s">
        <v>21</v>
      </c>
      <c r="E42" s="4">
        <v>7</v>
      </c>
      <c r="F42" s="4">
        <v>419</v>
      </c>
      <c r="G42" s="3" t="s">
        <v>13</v>
      </c>
      <c r="H42">
        <v>2933</v>
      </c>
      <c r="I42">
        <v>2374.4807810000002</v>
      </c>
      <c r="J42">
        <v>558.51921909999999</v>
      </c>
      <c r="K42" s="5">
        <f>IF(Table1[[#This Row],[Revenue]]=0, 0, Table1[[#This Row],[Profit]]/Table1[[#This Row],[Revenue]])</f>
        <v>0.19042591854756222</v>
      </c>
    </row>
    <row r="43" spans="1:11" x14ac:dyDescent="0.35">
      <c r="A43" s="1">
        <v>45426</v>
      </c>
      <c r="B43" s="3" t="s">
        <v>27</v>
      </c>
      <c r="C43" s="3" t="s">
        <v>11</v>
      </c>
      <c r="D43" s="3" t="s">
        <v>21</v>
      </c>
      <c r="E43" s="4">
        <v>14</v>
      </c>
      <c r="F43" s="4">
        <v>1963</v>
      </c>
      <c r="G43" s="3" t="s">
        <v>13</v>
      </c>
      <c r="H43">
        <v>27482</v>
      </c>
      <c r="I43">
        <v>21579.882519999999</v>
      </c>
      <c r="J43">
        <v>5902.1174769999998</v>
      </c>
      <c r="K43" s="5">
        <f>IF(Table1[[#This Row],[Revenue]]=0, 0, Table1[[#This Row],[Profit]]/Table1[[#This Row],[Revenue]])</f>
        <v>0.2147630258714795</v>
      </c>
    </row>
    <row r="44" spans="1:11" x14ac:dyDescent="0.35">
      <c r="A44" s="1">
        <v>45312</v>
      </c>
      <c r="B44" s="3" t="s">
        <v>27</v>
      </c>
      <c r="C44" s="3" t="s">
        <v>17</v>
      </c>
      <c r="D44" s="3" t="s">
        <v>12</v>
      </c>
      <c r="E44" s="4">
        <v>14</v>
      </c>
      <c r="F44" s="4">
        <v>1015</v>
      </c>
      <c r="G44" s="3" t="s">
        <v>19</v>
      </c>
      <c r="H44">
        <v>14210</v>
      </c>
      <c r="I44">
        <v>10976.39467</v>
      </c>
      <c r="J44">
        <v>3233.6053259999999</v>
      </c>
      <c r="K44" s="5">
        <f>IF(Table1[[#This Row],[Revenue]]=0, 0, Table1[[#This Row],[Profit]]/Table1[[#This Row],[Revenue]])</f>
        <v>0.22755843251231525</v>
      </c>
    </row>
    <row r="45" spans="1:11" x14ac:dyDescent="0.35">
      <c r="A45" s="1">
        <v>45620</v>
      </c>
      <c r="B45" s="3" t="s">
        <v>10</v>
      </c>
      <c r="C45" s="3" t="s">
        <v>22</v>
      </c>
      <c r="D45" s="3" t="s">
        <v>15</v>
      </c>
      <c r="E45" s="4">
        <v>13</v>
      </c>
      <c r="F45" s="4">
        <v>1305</v>
      </c>
      <c r="G45" s="3" t="s">
        <v>13</v>
      </c>
      <c r="H45">
        <v>16965</v>
      </c>
      <c r="I45">
        <v>11092.765020000001</v>
      </c>
      <c r="J45">
        <v>5872.2349759999997</v>
      </c>
      <c r="K45" s="5">
        <f>IF(Table1[[#This Row],[Revenue]]=0, 0, Table1[[#This Row],[Profit]]/Table1[[#This Row],[Revenue]])</f>
        <v>0.34613822434423813</v>
      </c>
    </row>
    <row r="46" spans="1:11" x14ac:dyDescent="0.35">
      <c r="A46" s="1">
        <v>45458</v>
      </c>
      <c r="B46" s="3" t="s">
        <v>27</v>
      </c>
      <c r="C46" s="3" t="s">
        <v>11</v>
      </c>
      <c r="D46" s="3" t="s">
        <v>15</v>
      </c>
      <c r="E46" s="4">
        <v>12</v>
      </c>
      <c r="F46" s="4">
        <v>1997</v>
      </c>
      <c r="G46" s="3" t="s">
        <v>13</v>
      </c>
      <c r="H46">
        <v>23964</v>
      </c>
      <c r="I46">
        <v>17488.791740000001</v>
      </c>
      <c r="J46">
        <v>6475.208259</v>
      </c>
      <c r="K46" s="5">
        <f>IF(Table1[[#This Row],[Revenue]]=0, 0, Table1[[#This Row],[Profit]]/Table1[[#This Row],[Revenue]])</f>
        <v>0.27020565260390583</v>
      </c>
    </row>
    <row r="47" spans="1:11" x14ac:dyDescent="0.35">
      <c r="A47" s="1">
        <v>45565</v>
      </c>
      <c r="B47" s="3" t="s">
        <v>10</v>
      </c>
      <c r="C47" s="3" t="s">
        <v>31</v>
      </c>
      <c r="D47" s="3" t="s">
        <v>15</v>
      </c>
      <c r="E47" s="4">
        <v>9</v>
      </c>
      <c r="F47" s="4">
        <v>185</v>
      </c>
      <c r="G47" s="3" t="s">
        <v>19</v>
      </c>
      <c r="H47">
        <v>1665</v>
      </c>
      <c r="I47">
        <v>1170.090492</v>
      </c>
      <c r="J47">
        <v>494.90950809999998</v>
      </c>
      <c r="K47" s="5">
        <f>IF(Table1[[#This Row],[Revenue]]=0, 0, Table1[[#This Row],[Profit]]/Table1[[#This Row],[Revenue]])</f>
        <v>0.2972429478078078</v>
      </c>
    </row>
    <row r="48" spans="1:11" x14ac:dyDescent="0.35">
      <c r="A48" s="1">
        <v>45380</v>
      </c>
      <c r="B48" s="3" t="s">
        <v>10</v>
      </c>
      <c r="C48" s="3" t="s">
        <v>28</v>
      </c>
      <c r="D48" s="3" t="s">
        <v>18</v>
      </c>
      <c r="E48" s="4">
        <v>1</v>
      </c>
      <c r="F48" s="4">
        <v>1590</v>
      </c>
      <c r="G48" s="3" t="s">
        <v>16</v>
      </c>
      <c r="H48">
        <v>1590</v>
      </c>
      <c r="I48">
        <v>1408.616452</v>
      </c>
      <c r="J48">
        <v>181.3835483</v>
      </c>
      <c r="K48" s="5">
        <f>IF(Table1[[#This Row],[Revenue]]=0, 0, Table1[[#This Row],[Profit]]/Table1[[#This Row],[Revenue]])</f>
        <v>0.11407770333333334</v>
      </c>
    </row>
    <row r="49" spans="1:11" x14ac:dyDescent="0.35">
      <c r="A49" s="1">
        <v>45607</v>
      </c>
      <c r="B49" s="3" t="s">
        <v>23</v>
      </c>
      <c r="C49" s="3" t="s">
        <v>24</v>
      </c>
      <c r="D49" s="3" t="s">
        <v>21</v>
      </c>
      <c r="E49" s="4">
        <v>19</v>
      </c>
      <c r="F49" s="4">
        <v>1025</v>
      </c>
      <c r="G49" s="3" t="s">
        <v>19</v>
      </c>
      <c r="H49">
        <v>19475</v>
      </c>
      <c r="I49">
        <v>13100.755950000001</v>
      </c>
      <c r="J49">
        <v>6374.2440479999996</v>
      </c>
      <c r="K49" s="5">
        <f>IF(Table1[[#This Row],[Revenue]]=0, 0, Table1[[#This Row],[Profit]]/Table1[[#This Row],[Revenue]])</f>
        <v>0.32730393057766366</v>
      </c>
    </row>
    <row r="50" spans="1:11" x14ac:dyDescent="0.35">
      <c r="A50" s="1">
        <v>45305</v>
      </c>
      <c r="B50" s="3" t="s">
        <v>23</v>
      </c>
      <c r="C50" s="3" t="s">
        <v>22</v>
      </c>
      <c r="D50" s="3" t="s">
        <v>29</v>
      </c>
      <c r="E50" s="4">
        <v>11</v>
      </c>
      <c r="F50" s="4">
        <v>152</v>
      </c>
      <c r="G50" s="3" t="s">
        <v>13</v>
      </c>
      <c r="H50">
        <v>1672</v>
      </c>
      <c r="I50">
        <v>1239.712612</v>
      </c>
      <c r="J50">
        <v>432.28738809999999</v>
      </c>
      <c r="K50" s="5">
        <f>IF(Table1[[#This Row],[Revenue]]=0, 0, Table1[[#This Row],[Profit]]/Table1[[#This Row],[Revenue]])</f>
        <v>0.258545088576555</v>
      </c>
    </row>
    <row r="51" spans="1:11" x14ac:dyDescent="0.35">
      <c r="A51" s="1">
        <v>45533</v>
      </c>
      <c r="B51" s="3" t="s">
        <v>20</v>
      </c>
      <c r="C51" s="3" t="s">
        <v>17</v>
      </c>
      <c r="D51" s="3" t="s">
        <v>30</v>
      </c>
      <c r="E51" s="4">
        <v>19</v>
      </c>
      <c r="F51" s="4">
        <v>959</v>
      </c>
      <c r="G51" s="3" t="s">
        <v>19</v>
      </c>
      <c r="H51">
        <v>18221</v>
      </c>
      <c r="I51">
        <v>16060.423220000001</v>
      </c>
      <c r="J51">
        <v>2160.5767770000002</v>
      </c>
      <c r="K51" s="5">
        <f>IF(Table1[[#This Row],[Revenue]]=0, 0, Table1[[#This Row],[Profit]]/Table1[[#This Row],[Revenue]])</f>
        <v>0.11857619104330169</v>
      </c>
    </row>
    <row r="52" spans="1:11" x14ac:dyDescent="0.35">
      <c r="A52" s="1">
        <v>45556</v>
      </c>
      <c r="B52" s="3" t="s">
        <v>23</v>
      </c>
      <c r="C52" s="3" t="s">
        <v>22</v>
      </c>
      <c r="D52" s="3" t="s">
        <v>15</v>
      </c>
      <c r="E52" s="4">
        <v>18</v>
      </c>
      <c r="F52" s="4">
        <v>966</v>
      </c>
      <c r="G52" s="3" t="s">
        <v>13</v>
      </c>
      <c r="H52">
        <v>17388</v>
      </c>
      <c r="I52">
        <v>14549.481959999999</v>
      </c>
      <c r="J52">
        <v>2838.5180449999998</v>
      </c>
      <c r="K52" s="5">
        <f>IF(Table1[[#This Row],[Revenue]]=0, 0, Table1[[#This Row],[Profit]]/Table1[[#This Row],[Revenue]])</f>
        <v>0.16324580429031516</v>
      </c>
    </row>
    <row r="53" spans="1:11" x14ac:dyDescent="0.35">
      <c r="A53" s="1">
        <v>45344</v>
      </c>
      <c r="B53" s="3" t="s">
        <v>27</v>
      </c>
      <c r="C53" s="3" t="s">
        <v>26</v>
      </c>
      <c r="D53" s="3" t="s">
        <v>25</v>
      </c>
      <c r="E53" s="4">
        <v>1</v>
      </c>
      <c r="F53" s="4">
        <v>1902</v>
      </c>
      <c r="G53" s="3" t="s">
        <v>19</v>
      </c>
      <c r="H53">
        <v>1902</v>
      </c>
      <c r="I53">
        <v>1488.3132439999999</v>
      </c>
      <c r="J53">
        <v>413.68675639999998</v>
      </c>
      <c r="K53" s="5">
        <f>IF(Table1[[#This Row],[Revenue]]=0, 0, Table1[[#This Row],[Profit]]/Table1[[#This Row],[Revenue]])</f>
        <v>0.21750092344900104</v>
      </c>
    </row>
    <row r="54" spans="1:11" x14ac:dyDescent="0.35">
      <c r="A54" s="1">
        <v>45631</v>
      </c>
      <c r="B54" s="3" t="s">
        <v>23</v>
      </c>
      <c r="C54" s="3" t="s">
        <v>11</v>
      </c>
      <c r="D54" s="3" t="s">
        <v>21</v>
      </c>
      <c r="E54" s="4">
        <v>19</v>
      </c>
      <c r="F54" s="4">
        <v>1922</v>
      </c>
      <c r="G54" s="3" t="s">
        <v>13</v>
      </c>
      <c r="H54">
        <v>36518</v>
      </c>
      <c r="I54">
        <v>25567.568510000001</v>
      </c>
      <c r="J54">
        <v>10950.431490000001</v>
      </c>
      <c r="K54" s="5">
        <f>IF(Table1[[#This Row],[Revenue]]=0, 0, Table1[[#This Row],[Profit]]/Table1[[#This Row],[Revenue]])</f>
        <v>0.29986394353469525</v>
      </c>
    </row>
    <row r="55" spans="1:11" x14ac:dyDescent="0.35">
      <c r="A55" s="1">
        <v>45383</v>
      </c>
      <c r="B55" s="3" t="s">
        <v>20</v>
      </c>
      <c r="C55" s="3" t="s">
        <v>43</v>
      </c>
      <c r="D55" s="3" t="s">
        <v>21</v>
      </c>
      <c r="E55" s="4">
        <v>17</v>
      </c>
      <c r="F55" s="4">
        <v>532</v>
      </c>
      <c r="G55" s="3" t="s">
        <v>13</v>
      </c>
      <c r="H55">
        <v>9044</v>
      </c>
      <c r="I55">
        <v>7669.2661710000002</v>
      </c>
      <c r="J55">
        <v>1374.733829</v>
      </c>
      <c r="K55" s="5">
        <f>IF(Table1[[#This Row],[Revenue]]=0, 0, Table1[[#This Row],[Profit]]/Table1[[#This Row],[Revenue]])</f>
        <v>0.1520050673374613</v>
      </c>
    </row>
    <row r="56" spans="1:11" x14ac:dyDescent="0.35">
      <c r="A56" s="1">
        <v>45555</v>
      </c>
      <c r="B56" s="3" t="s">
        <v>27</v>
      </c>
      <c r="C56" s="3" t="s">
        <v>31</v>
      </c>
      <c r="D56" s="3" t="s">
        <v>18</v>
      </c>
      <c r="E56" s="4">
        <v>5</v>
      </c>
      <c r="F56" s="4">
        <v>1619</v>
      </c>
      <c r="G56" s="3" t="s">
        <v>19</v>
      </c>
      <c r="H56">
        <v>8095</v>
      </c>
      <c r="I56">
        <v>5564.801555</v>
      </c>
      <c r="J56">
        <v>2530.198445</v>
      </c>
      <c r="K56" s="5">
        <f>IF(Table1[[#This Row],[Revenue]]=0, 0, Table1[[#This Row],[Profit]]/Table1[[#This Row],[Revenue]])</f>
        <v>0.31256311859172331</v>
      </c>
    </row>
    <row r="57" spans="1:11" x14ac:dyDescent="0.35">
      <c r="A57" s="1">
        <v>45326</v>
      </c>
      <c r="B57" s="3" t="s">
        <v>20</v>
      </c>
      <c r="C57" s="3" t="s">
        <v>28</v>
      </c>
      <c r="D57" s="3" t="s">
        <v>18</v>
      </c>
      <c r="E57" s="4">
        <v>3</v>
      </c>
      <c r="F57" s="4">
        <v>1098</v>
      </c>
      <c r="G57" s="3" t="s">
        <v>16</v>
      </c>
      <c r="H57">
        <v>3294</v>
      </c>
      <c r="I57">
        <v>2139.2284829999999</v>
      </c>
      <c r="J57">
        <v>1154.7715169999999</v>
      </c>
      <c r="K57" s="5">
        <f>IF(Table1[[#This Row],[Revenue]]=0, 0, Table1[[#This Row],[Profit]]/Table1[[#This Row],[Revenue]])</f>
        <v>0.35056815938069213</v>
      </c>
    </row>
    <row r="58" spans="1:11" x14ac:dyDescent="0.35">
      <c r="A58" s="1">
        <v>45497</v>
      </c>
      <c r="B58" s="3" t="s">
        <v>23</v>
      </c>
      <c r="C58" s="3" t="s">
        <v>24</v>
      </c>
      <c r="D58" s="3" t="s">
        <v>15</v>
      </c>
      <c r="E58" s="4">
        <v>2</v>
      </c>
      <c r="F58" s="4">
        <v>199</v>
      </c>
      <c r="G58" s="3" t="s">
        <v>19</v>
      </c>
      <c r="H58">
        <v>398</v>
      </c>
      <c r="I58">
        <v>323.13088440000001</v>
      </c>
      <c r="J58">
        <v>74.869115600000001</v>
      </c>
      <c r="K58" s="5">
        <f>IF(Table1[[#This Row],[Revenue]]=0, 0, Table1[[#This Row],[Profit]]/Table1[[#This Row],[Revenue]])</f>
        <v>0.18811335577889449</v>
      </c>
    </row>
    <row r="59" spans="1:11" x14ac:dyDescent="0.35">
      <c r="A59" s="1">
        <v>45372</v>
      </c>
      <c r="B59" s="3" t="s">
        <v>20</v>
      </c>
      <c r="C59" s="3" t="s">
        <v>22</v>
      </c>
      <c r="D59" s="3" t="s">
        <v>21</v>
      </c>
      <c r="E59" s="4">
        <v>3</v>
      </c>
      <c r="F59" s="4">
        <v>1089</v>
      </c>
      <c r="G59" s="3" t="s">
        <v>13</v>
      </c>
      <c r="H59">
        <v>3267</v>
      </c>
      <c r="I59">
        <v>2586.4404460000001</v>
      </c>
      <c r="J59">
        <v>680.55955419999998</v>
      </c>
      <c r="K59" s="5">
        <f>IF(Table1[[#This Row],[Revenue]]=0, 0, Table1[[#This Row],[Profit]]/Table1[[#This Row],[Revenue]])</f>
        <v>0.20831330094888276</v>
      </c>
    </row>
    <row r="60" spans="1:11" x14ac:dyDescent="0.35">
      <c r="A60" s="1">
        <v>45341</v>
      </c>
      <c r="B60" s="3" t="s">
        <v>27</v>
      </c>
      <c r="C60" s="3" t="s">
        <v>26</v>
      </c>
      <c r="D60" s="3" t="s">
        <v>29</v>
      </c>
      <c r="E60" s="4">
        <v>8</v>
      </c>
      <c r="F60" s="4">
        <v>698</v>
      </c>
      <c r="G60" s="3" t="s">
        <v>19</v>
      </c>
      <c r="H60">
        <v>5584</v>
      </c>
      <c r="I60">
        <v>4822.8152019999998</v>
      </c>
      <c r="J60">
        <v>761.18479839999998</v>
      </c>
      <c r="K60" s="5">
        <f>IF(Table1[[#This Row],[Revenue]]=0, 0, Table1[[#This Row],[Profit]]/Table1[[#This Row],[Revenue]])</f>
        <v>0.13631532922636103</v>
      </c>
    </row>
    <row r="61" spans="1:11" x14ac:dyDescent="0.35">
      <c r="A61" s="1">
        <v>45651</v>
      </c>
      <c r="B61" s="3" t="s">
        <v>10</v>
      </c>
      <c r="C61" s="3" t="s">
        <v>11</v>
      </c>
      <c r="D61" s="3" t="s">
        <v>30</v>
      </c>
      <c r="E61" s="4">
        <v>16</v>
      </c>
      <c r="F61" s="4">
        <v>502</v>
      </c>
      <c r="G61" s="3" t="s">
        <v>13</v>
      </c>
      <c r="H61">
        <v>8032</v>
      </c>
      <c r="I61">
        <v>7137.0538960000003</v>
      </c>
      <c r="J61">
        <v>894.94610360000001</v>
      </c>
      <c r="K61" s="5">
        <f>IF(Table1[[#This Row],[Revenue]]=0, 0, Table1[[#This Row],[Profit]]/Table1[[#This Row],[Revenue]])</f>
        <v>0.11142257265936255</v>
      </c>
    </row>
    <row r="62" spans="1:11" x14ac:dyDescent="0.35">
      <c r="A62" s="1">
        <v>45293</v>
      </c>
      <c r="B62" s="3" t="s">
        <v>20</v>
      </c>
      <c r="C62" s="3" t="s">
        <v>14</v>
      </c>
      <c r="D62" s="3" t="s">
        <v>12</v>
      </c>
      <c r="E62" s="4">
        <v>6</v>
      </c>
      <c r="F62" s="4">
        <v>495</v>
      </c>
      <c r="G62" s="3" t="s">
        <v>16</v>
      </c>
      <c r="H62">
        <v>2970</v>
      </c>
      <c r="I62">
        <v>2545.76305</v>
      </c>
      <c r="J62">
        <v>424.23694979999999</v>
      </c>
      <c r="K62" s="5">
        <f>IF(Table1[[#This Row],[Revenue]]=0, 0, Table1[[#This Row],[Profit]]/Table1[[#This Row],[Revenue]])</f>
        <v>0.14284072383838384</v>
      </c>
    </row>
    <row r="63" spans="1:11" x14ac:dyDescent="0.35">
      <c r="A63" s="1">
        <v>45345</v>
      </c>
      <c r="B63" s="3" t="s">
        <v>20</v>
      </c>
      <c r="C63" s="3" t="s">
        <v>14</v>
      </c>
      <c r="D63" s="3" t="s">
        <v>21</v>
      </c>
      <c r="E63" s="4">
        <v>13</v>
      </c>
      <c r="F63" s="4">
        <v>1650</v>
      </c>
      <c r="G63" s="3" t="s">
        <v>16</v>
      </c>
      <c r="H63">
        <v>21450</v>
      </c>
      <c r="I63">
        <v>13256.24027</v>
      </c>
      <c r="J63">
        <v>8193.7597330000008</v>
      </c>
      <c r="K63" s="5">
        <f>IF(Table1[[#This Row],[Revenue]]=0, 0, Table1[[#This Row],[Profit]]/Table1[[#This Row],[Revenue]])</f>
        <v>0.38199346074592078</v>
      </c>
    </row>
    <row r="64" spans="1:11" x14ac:dyDescent="0.35">
      <c r="A64" s="1">
        <v>45397</v>
      </c>
      <c r="B64" s="3" t="s">
        <v>27</v>
      </c>
      <c r="C64" s="3" t="s">
        <v>24</v>
      </c>
      <c r="D64" s="3" t="s">
        <v>25</v>
      </c>
      <c r="E64" s="4">
        <v>16</v>
      </c>
      <c r="F64" s="4">
        <v>514</v>
      </c>
      <c r="G64" s="3" t="s">
        <v>19</v>
      </c>
      <c r="H64">
        <v>8224</v>
      </c>
      <c r="I64">
        <v>6573.8875420000004</v>
      </c>
      <c r="J64">
        <v>1650.1124580000001</v>
      </c>
      <c r="K64" s="5">
        <f>IF(Table1[[#This Row],[Revenue]]=0, 0, Table1[[#This Row],[Profit]]/Table1[[#This Row],[Revenue]])</f>
        <v>0.20064597008754864</v>
      </c>
    </row>
    <row r="65" spans="1:11" x14ac:dyDescent="0.35">
      <c r="A65" s="1">
        <v>45551</v>
      </c>
      <c r="B65" s="3" t="s">
        <v>27</v>
      </c>
      <c r="C65" s="3" t="s">
        <v>22</v>
      </c>
      <c r="D65" s="3" t="s">
        <v>12</v>
      </c>
      <c r="E65" s="4">
        <v>16</v>
      </c>
      <c r="F65" s="4">
        <v>1038</v>
      </c>
      <c r="G65" s="3" t="s">
        <v>13</v>
      </c>
      <c r="H65">
        <v>16608</v>
      </c>
      <c r="I65">
        <v>13874.65077</v>
      </c>
      <c r="J65">
        <v>2733.3492259999998</v>
      </c>
      <c r="K65" s="5">
        <f>IF(Table1[[#This Row],[Revenue]]=0, 0, Table1[[#This Row],[Profit]]/Table1[[#This Row],[Revenue]])</f>
        <v>0.16458027613198459</v>
      </c>
    </row>
    <row r="66" spans="1:11" x14ac:dyDescent="0.35">
      <c r="A66" s="1">
        <v>45601</v>
      </c>
      <c r="B66" s="3" t="s">
        <v>20</v>
      </c>
      <c r="C66" s="3" t="s">
        <v>11</v>
      </c>
      <c r="D66" s="3" t="s">
        <v>21</v>
      </c>
      <c r="E66" s="4">
        <v>3</v>
      </c>
      <c r="F66" s="4">
        <v>1736</v>
      </c>
      <c r="G66" s="3" t="s">
        <v>13</v>
      </c>
      <c r="H66">
        <v>5208</v>
      </c>
      <c r="I66">
        <v>4658.9654389999996</v>
      </c>
      <c r="J66">
        <v>549.03456110000002</v>
      </c>
      <c r="K66" s="5">
        <f>IF(Table1[[#This Row],[Revenue]]=0, 0, Table1[[#This Row],[Profit]]/Table1[[#This Row],[Revenue]])</f>
        <v>0.10542138269969278</v>
      </c>
    </row>
    <row r="67" spans="1:11" x14ac:dyDescent="0.35">
      <c r="A67" s="1">
        <v>45482</v>
      </c>
      <c r="B67" s="3" t="s">
        <v>23</v>
      </c>
      <c r="C67" s="3" t="s">
        <v>11</v>
      </c>
      <c r="D67" s="3" t="s">
        <v>32</v>
      </c>
      <c r="E67" s="4">
        <v>13</v>
      </c>
      <c r="F67" s="4">
        <v>776</v>
      </c>
      <c r="G67" s="3" t="s">
        <v>13</v>
      </c>
      <c r="H67">
        <v>10088</v>
      </c>
      <c r="I67">
        <v>7186.6749570000002</v>
      </c>
      <c r="J67">
        <v>2901.3250429999998</v>
      </c>
      <c r="K67" s="5">
        <f>IF(Table1[[#This Row],[Revenue]]=0, 0, Table1[[#This Row],[Profit]]/Table1[[#This Row],[Revenue]])</f>
        <v>0.28760161013084851</v>
      </c>
    </row>
    <row r="68" spans="1:11" x14ac:dyDescent="0.35">
      <c r="A68" s="1">
        <v>45509</v>
      </c>
      <c r="B68" s="3" t="s">
        <v>20</v>
      </c>
      <c r="C68" s="3" t="s">
        <v>26</v>
      </c>
      <c r="D68" s="3" t="s">
        <v>18</v>
      </c>
      <c r="E68" s="4">
        <v>14</v>
      </c>
      <c r="F68" s="4">
        <v>562</v>
      </c>
      <c r="G68" s="3" t="s">
        <v>19</v>
      </c>
      <c r="H68">
        <v>7868</v>
      </c>
      <c r="I68">
        <v>5121.7884990000002</v>
      </c>
      <c r="J68">
        <v>2746.2115010000002</v>
      </c>
      <c r="K68" s="5">
        <f>IF(Table1[[#This Row],[Revenue]]=0, 0, Table1[[#This Row],[Profit]]/Table1[[#This Row],[Revenue]])</f>
        <v>0.34903552376715813</v>
      </c>
    </row>
    <row r="69" spans="1:11" x14ac:dyDescent="0.35">
      <c r="A69" s="1">
        <v>45335</v>
      </c>
      <c r="B69" s="3" t="s">
        <v>27</v>
      </c>
      <c r="C69" s="3" t="s">
        <v>26</v>
      </c>
      <c r="D69" s="3" t="s">
        <v>25</v>
      </c>
      <c r="E69" s="4">
        <v>8</v>
      </c>
      <c r="F69" s="4">
        <v>640</v>
      </c>
      <c r="G69" s="3" t="s">
        <v>19</v>
      </c>
      <c r="H69">
        <v>5120</v>
      </c>
      <c r="I69">
        <v>4382.1051829999997</v>
      </c>
      <c r="J69">
        <v>737.89481709999995</v>
      </c>
      <c r="K69" s="5">
        <f>IF(Table1[[#This Row],[Revenue]]=0, 0, Table1[[#This Row],[Profit]]/Table1[[#This Row],[Revenue]])</f>
        <v>0.14412008146484373</v>
      </c>
    </row>
    <row r="70" spans="1:11" x14ac:dyDescent="0.35">
      <c r="A70" s="1">
        <v>45453</v>
      </c>
      <c r="B70" s="3" t="s">
        <v>10</v>
      </c>
      <c r="C70" s="3" t="s">
        <v>11</v>
      </c>
      <c r="D70" s="3" t="s">
        <v>30</v>
      </c>
      <c r="E70" s="4">
        <v>12</v>
      </c>
      <c r="F70" s="4">
        <v>1749</v>
      </c>
      <c r="G70" s="3" t="s">
        <v>13</v>
      </c>
      <c r="H70">
        <v>20988</v>
      </c>
      <c r="I70">
        <v>14591.6976</v>
      </c>
      <c r="J70">
        <v>6396.3023949999997</v>
      </c>
      <c r="K70" s="5">
        <f>IF(Table1[[#This Row],[Revenue]]=0, 0, Table1[[#This Row],[Profit]]/Table1[[#This Row],[Revenue]])</f>
        <v>0.30475997689155709</v>
      </c>
    </row>
    <row r="71" spans="1:11" x14ac:dyDescent="0.35">
      <c r="A71" s="1">
        <v>45493</v>
      </c>
      <c r="B71" s="3" t="s">
        <v>10</v>
      </c>
      <c r="C71" s="3" t="s">
        <v>17</v>
      </c>
      <c r="D71" s="3" t="s">
        <v>15</v>
      </c>
      <c r="E71" s="4">
        <v>8</v>
      </c>
      <c r="F71" s="4">
        <v>1742</v>
      </c>
      <c r="G71" s="3" t="s">
        <v>19</v>
      </c>
      <c r="H71">
        <v>13936</v>
      </c>
      <c r="I71">
        <v>10862.56249</v>
      </c>
      <c r="J71">
        <v>3073.4375140000002</v>
      </c>
      <c r="K71" s="5">
        <f>IF(Table1[[#This Row],[Revenue]]=0, 0, Table1[[#This Row],[Profit]]/Table1[[#This Row],[Revenue]])</f>
        <v>0.22053943125717568</v>
      </c>
    </row>
    <row r="72" spans="1:11" x14ac:dyDescent="0.35">
      <c r="A72" s="1">
        <v>45561</v>
      </c>
      <c r="B72" s="3" t="s">
        <v>23</v>
      </c>
      <c r="C72" s="3" t="s">
        <v>11</v>
      </c>
      <c r="D72" s="3" t="s">
        <v>25</v>
      </c>
      <c r="E72" s="4">
        <v>9</v>
      </c>
      <c r="F72" s="4">
        <v>1487</v>
      </c>
      <c r="G72" s="3" t="s">
        <v>13</v>
      </c>
      <c r="H72">
        <v>13383</v>
      </c>
      <c r="I72">
        <v>9595.1884890000001</v>
      </c>
      <c r="J72">
        <v>3787.8115109999999</v>
      </c>
      <c r="K72" s="5">
        <f>IF(Table1[[#This Row],[Revenue]]=0, 0, Table1[[#This Row],[Profit]]/Table1[[#This Row],[Revenue]])</f>
        <v>0.28303157072405288</v>
      </c>
    </row>
    <row r="73" spans="1:11" x14ac:dyDescent="0.35">
      <c r="A73" s="1">
        <v>45642</v>
      </c>
      <c r="B73" s="3" t="s">
        <v>20</v>
      </c>
      <c r="C73" s="3" t="s">
        <v>24</v>
      </c>
      <c r="D73" s="3" t="s">
        <v>21</v>
      </c>
      <c r="E73" s="4">
        <v>1</v>
      </c>
      <c r="F73" s="4">
        <v>1253</v>
      </c>
      <c r="G73" s="3" t="s">
        <v>19</v>
      </c>
      <c r="H73">
        <v>1253</v>
      </c>
      <c r="I73">
        <v>903.03443990000005</v>
      </c>
      <c r="J73">
        <v>349.9655601</v>
      </c>
      <c r="K73" s="5">
        <f>IF(Table1[[#This Row],[Revenue]]=0, 0, Table1[[#This Row],[Profit]]/Table1[[#This Row],[Revenue]])</f>
        <v>0.27930212298483642</v>
      </c>
    </row>
    <row r="74" spans="1:11" x14ac:dyDescent="0.35">
      <c r="A74" s="1">
        <v>45595</v>
      </c>
      <c r="B74" s="3" t="s">
        <v>10</v>
      </c>
      <c r="C74" s="3" t="s">
        <v>11</v>
      </c>
      <c r="D74" s="3" t="s">
        <v>15</v>
      </c>
      <c r="E74" s="4">
        <v>6</v>
      </c>
      <c r="F74" s="4">
        <v>183</v>
      </c>
      <c r="G74" s="3" t="s">
        <v>13</v>
      </c>
      <c r="H74">
        <v>1098</v>
      </c>
      <c r="I74">
        <v>900.07379939999998</v>
      </c>
      <c r="J74">
        <v>197.92620059999999</v>
      </c>
      <c r="K74" s="5">
        <f>IF(Table1[[#This Row],[Revenue]]=0, 0, Table1[[#This Row],[Profit]]/Table1[[#This Row],[Revenue]])</f>
        <v>0.180260656284153</v>
      </c>
    </row>
    <row r="75" spans="1:11" x14ac:dyDescent="0.35">
      <c r="A75" s="1">
        <v>45562</v>
      </c>
      <c r="B75" s="3" t="s">
        <v>20</v>
      </c>
      <c r="C75" s="3" t="s">
        <v>31</v>
      </c>
      <c r="D75" s="3" t="s">
        <v>21</v>
      </c>
      <c r="E75" s="4">
        <v>19</v>
      </c>
      <c r="F75" s="4">
        <v>370</v>
      </c>
      <c r="G75" s="3" t="s">
        <v>19</v>
      </c>
      <c r="H75">
        <v>7030</v>
      </c>
      <c r="I75">
        <v>4980.3510390000001</v>
      </c>
      <c r="J75">
        <v>2049.6489609999999</v>
      </c>
      <c r="K75" s="5">
        <f>IF(Table1[[#This Row],[Revenue]]=0, 0, Table1[[#This Row],[Profit]]/Table1[[#This Row],[Revenue]])</f>
        <v>0.29155746244665715</v>
      </c>
    </row>
    <row r="76" spans="1:11" x14ac:dyDescent="0.35">
      <c r="A76" s="1">
        <v>45506</v>
      </c>
      <c r="B76" s="3" t="s">
        <v>27</v>
      </c>
      <c r="C76" s="3" t="s">
        <v>28</v>
      </c>
      <c r="D76" s="3" t="s">
        <v>15</v>
      </c>
      <c r="E76" s="4">
        <v>11</v>
      </c>
      <c r="F76" s="4">
        <v>343</v>
      </c>
      <c r="G76" s="3" t="s">
        <v>16</v>
      </c>
      <c r="H76">
        <v>3773</v>
      </c>
      <c r="I76">
        <v>3048.2917200000002</v>
      </c>
      <c r="J76">
        <v>724.70827959999997</v>
      </c>
      <c r="K76" s="5">
        <f>IF(Table1[[#This Row],[Revenue]]=0, 0, Table1[[#This Row],[Profit]]/Table1[[#This Row],[Revenue]])</f>
        <v>0.19207746610124568</v>
      </c>
    </row>
    <row r="77" spans="1:11" x14ac:dyDescent="0.35">
      <c r="A77" s="1">
        <v>45543</v>
      </c>
      <c r="B77" s="3" t="s">
        <v>10</v>
      </c>
      <c r="C77" s="3" t="s">
        <v>31</v>
      </c>
      <c r="D77" s="3" t="s">
        <v>30</v>
      </c>
      <c r="E77" s="4">
        <v>11</v>
      </c>
      <c r="F77" s="4">
        <v>487</v>
      </c>
      <c r="G77" s="3" t="s">
        <v>19</v>
      </c>
      <c r="H77">
        <v>5357</v>
      </c>
      <c r="I77">
        <v>3237.227261</v>
      </c>
      <c r="J77">
        <v>2119.772739</v>
      </c>
      <c r="K77" s="5">
        <f>IF(Table1[[#This Row],[Revenue]]=0, 0, Table1[[#This Row],[Profit]]/Table1[[#This Row],[Revenue]])</f>
        <v>0.39570146331902184</v>
      </c>
    </row>
    <row r="78" spans="1:11" x14ac:dyDescent="0.35">
      <c r="A78" s="1">
        <v>45481</v>
      </c>
      <c r="B78" s="3" t="s">
        <v>23</v>
      </c>
      <c r="C78" s="3" t="s">
        <v>31</v>
      </c>
      <c r="D78" s="3" t="s">
        <v>18</v>
      </c>
      <c r="E78" s="4">
        <v>13</v>
      </c>
      <c r="F78" s="4">
        <v>313</v>
      </c>
      <c r="G78" s="3" t="s">
        <v>19</v>
      </c>
      <c r="H78">
        <v>4069</v>
      </c>
      <c r="I78">
        <v>2837.6970689999998</v>
      </c>
      <c r="J78">
        <v>1231.3029309999999</v>
      </c>
      <c r="K78" s="5">
        <f>IF(Table1[[#This Row],[Revenue]]=0, 0, Table1[[#This Row],[Profit]]/Table1[[#This Row],[Revenue]])</f>
        <v>0.30260578299336444</v>
      </c>
    </row>
    <row r="79" spans="1:11" x14ac:dyDescent="0.35">
      <c r="A79" s="1">
        <v>45587</v>
      </c>
      <c r="B79" s="3" t="s">
        <v>27</v>
      </c>
      <c r="C79" s="3" t="s">
        <v>17</v>
      </c>
      <c r="D79" s="3" t="s">
        <v>30</v>
      </c>
      <c r="E79" s="4">
        <v>11</v>
      </c>
      <c r="F79" s="4">
        <v>917</v>
      </c>
      <c r="G79" s="3" t="s">
        <v>19</v>
      </c>
      <c r="H79">
        <v>10087</v>
      </c>
      <c r="I79">
        <v>7017.6591429999999</v>
      </c>
      <c r="J79">
        <v>3069.3408570000001</v>
      </c>
      <c r="K79" s="5">
        <f>IF(Table1[[#This Row],[Revenue]]=0, 0, Table1[[#This Row],[Profit]]/Table1[[#This Row],[Revenue]])</f>
        <v>0.30428679062159214</v>
      </c>
    </row>
    <row r="80" spans="1:11" x14ac:dyDescent="0.35">
      <c r="A80" s="1">
        <v>45504</v>
      </c>
      <c r="B80" s="3" t="s">
        <v>23</v>
      </c>
      <c r="C80" s="3" t="s">
        <v>17</v>
      </c>
      <c r="D80" s="3" t="s">
        <v>32</v>
      </c>
      <c r="E80" s="4">
        <v>18</v>
      </c>
      <c r="F80" s="4">
        <v>1289</v>
      </c>
      <c r="G80" s="3" t="s">
        <v>19</v>
      </c>
      <c r="H80">
        <v>23202</v>
      </c>
      <c r="I80">
        <v>19133.542890000001</v>
      </c>
      <c r="J80">
        <v>4068.4571089999999</v>
      </c>
      <c r="K80" s="5">
        <f>IF(Table1[[#This Row],[Revenue]]=0, 0, Table1[[#This Row],[Profit]]/Table1[[#This Row],[Revenue]])</f>
        <v>0.17534941423153177</v>
      </c>
    </row>
    <row r="81" spans="1:11" x14ac:dyDescent="0.35">
      <c r="A81" s="1">
        <v>45499</v>
      </c>
      <c r="B81" s="3" t="s">
        <v>27</v>
      </c>
      <c r="C81" s="3" t="s">
        <v>14</v>
      </c>
      <c r="D81" s="3" t="s">
        <v>29</v>
      </c>
      <c r="E81" s="4">
        <v>15</v>
      </c>
      <c r="F81" s="4">
        <v>1914</v>
      </c>
      <c r="G81" s="3" t="s">
        <v>16</v>
      </c>
      <c r="H81">
        <v>28710</v>
      </c>
      <c r="I81">
        <v>19935.280439999999</v>
      </c>
      <c r="J81">
        <v>8774.7195599999995</v>
      </c>
      <c r="K81" s="5">
        <f>IF(Table1[[#This Row],[Revenue]]=0, 0, Table1[[#This Row],[Profit]]/Table1[[#This Row],[Revenue]])</f>
        <v>0.30563286520376176</v>
      </c>
    </row>
    <row r="82" spans="1:11" x14ac:dyDescent="0.35">
      <c r="A82" s="1">
        <v>45528</v>
      </c>
      <c r="B82" s="3" t="s">
        <v>10</v>
      </c>
      <c r="C82" s="3" t="s">
        <v>11</v>
      </c>
      <c r="D82" s="3" t="s">
        <v>18</v>
      </c>
      <c r="E82" s="4">
        <v>1</v>
      </c>
      <c r="F82" s="4">
        <v>158</v>
      </c>
      <c r="G82" s="3" t="s">
        <v>13</v>
      </c>
      <c r="H82">
        <v>158</v>
      </c>
      <c r="I82">
        <v>124.8197061</v>
      </c>
      <c r="J82">
        <v>33.180293929999998</v>
      </c>
      <c r="K82" s="5">
        <f>IF(Table1[[#This Row],[Revenue]]=0, 0, Table1[[#This Row],[Profit]]/Table1[[#This Row],[Revenue]])</f>
        <v>0.21000186031645568</v>
      </c>
    </row>
    <row r="83" spans="1:11" x14ac:dyDescent="0.35">
      <c r="A83" s="1">
        <v>45629</v>
      </c>
      <c r="B83" s="3" t="s">
        <v>23</v>
      </c>
      <c r="C83" s="3" t="s">
        <v>31</v>
      </c>
      <c r="D83" s="3" t="s">
        <v>30</v>
      </c>
      <c r="E83" s="4">
        <v>7</v>
      </c>
      <c r="F83" s="4">
        <v>1725</v>
      </c>
      <c r="G83" s="3" t="s">
        <v>19</v>
      </c>
      <c r="H83">
        <v>12075</v>
      </c>
      <c r="I83">
        <v>9739.1796470000008</v>
      </c>
      <c r="J83">
        <v>2335.8203530000001</v>
      </c>
      <c r="K83" s="5">
        <f>IF(Table1[[#This Row],[Revenue]]=0, 0, Table1[[#This Row],[Profit]]/Table1[[#This Row],[Revenue]])</f>
        <v>0.19344267933747414</v>
      </c>
    </row>
    <row r="84" spans="1:11" x14ac:dyDescent="0.35">
      <c r="A84" s="1">
        <v>45344</v>
      </c>
      <c r="B84" s="3" t="s">
        <v>23</v>
      </c>
      <c r="C84" s="3" t="s">
        <v>17</v>
      </c>
      <c r="D84" s="3" t="s">
        <v>32</v>
      </c>
      <c r="E84" s="4">
        <v>13</v>
      </c>
      <c r="F84" s="4">
        <v>982</v>
      </c>
      <c r="G84" s="3" t="s">
        <v>19</v>
      </c>
      <c r="H84">
        <v>12766</v>
      </c>
      <c r="I84">
        <v>10181.238149999999</v>
      </c>
      <c r="J84">
        <v>2584.7618510000002</v>
      </c>
      <c r="K84" s="5">
        <f>IF(Table1[[#This Row],[Revenue]]=0, 0, Table1[[#This Row],[Profit]]/Table1[[#This Row],[Revenue]])</f>
        <v>0.20247233675387749</v>
      </c>
    </row>
    <row r="85" spans="1:11" x14ac:dyDescent="0.35">
      <c r="A85" s="1">
        <v>45571</v>
      </c>
      <c r="B85" s="3" t="s">
        <v>27</v>
      </c>
      <c r="C85" s="3" t="s">
        <v>26</v>
      </c>
      <c r="D85" s="3" t="s">
        <v>29</v>
      </c>
      <c r="E85" s="4">
        <v>12</v>
      </c>
      <c r="F85" s="4">
        <v>942</v>
      </c>
      <c r="G85" s="3" t="s">
        <v>19</v>
      </c>
      <c r="H85">
        <v>11304</v>
      </c>
      <c r="I85">
        <v>8828.2895310000004</v>
      </c>
      <c r="J85">
        <v>2475.7104690000001</v>
      </c>
      <c r="K85" s="5">
        <f>IF(Table1[[#This Row],[Revenue]]=0, 0, Table1[[#This Row],[Profit]]/Table1[[#This Row],[Revenue]])</f>
        <v>0.21901189570063695</v>
      </c>
    </row>
    <row r="86" spans="1:11" x14ac:dyDescent="0.35">
      <c r="A86" s="1">
        <v>45508</v>
      </c>
      <c r="B86" s="3" t="s">
        <v>23</v>
      </c>
      <c r="C86" s="3" t="s">
        <v>11</v>
      </c>
      <c r="D86" s="3" t="s">
        <v>32</v>
      </c>
      <c r="E86" s="4">
        <v>18</v>
      </c>
      <c r="F86" s="4">
        <v>1023</v>
      </c>
      <c r="G86" s="3" t="s">
        <v>13</v>
      </c>
      <c r="H86">
        <v>18414</v>
      </c>
      <c r="I86">
        <v>13333.3022</v>
      </c>
      <c r="J86">
        <v>5080.6978010000003</v>
      </c>
      <c r="K86" s="5">
        <f>IF(Table1[[#This Row],[Revenue]]=0, 0, Table1[[#This Row],[Profit]]/Table1[[#This Row],[Revenue]])</f>
        <v>0.27591494520473553</v>
      </c>
    </row>
    <row r="87" spans="1:11" x14ac:dyDescent="0.35">
      <c r="A87" s="1">
        <v>45543</v>
      </c>
      <c r="B87" s="3" t="s">
        <v>27</v>
      </c>
      <c r="C87" s="3" t="s">
        <v>24</v>
      </c>
      <c r="D87" s="3" t="s">
        <v>21</v>
      </c>
      <c r="E87" s="4">
        <v>19</v>
      </c>
      <c r="F87" s="4">
        <v>1627</v>
      </c>
      <c r="G87" s="3" t="s">
        <v>19</v>
      </c>
      <c r="H87">
        <v>30913</v>
      </c>
      <c r="I87">
        <v>22009.793030000001</v>
      </c>
      <c r="J87">
        <v>8903.2069670000001</v>
      </c>
      <c r="K87" s="5">
        <f>IF(Table1[[#This Row],[Revenue]]=0, 0, Table1[[#This Row],[Profit]]/Table1[[#This Row],[Revenue]])</f>
        <v>0.28800850668003752</v>
      </c>
    </row>
    <row r="88" spans="1:11" x14ac:dyDescent="0.35">
      <c r="A88" s="1">
        <v>45479</v>
      </c>
      <c r="B88" s="3" t="s">
        <v>27</v>
      </c>
      <c r="C88" s="3" t="s">
        <v>28</v>
      </c>
      <c r="D88" s="3" t="s">
        <v>12</v>
      </c>
      <c r="E88" s="4">
        <v>15</v>
      </c>
      <c r="F88" s="4">
        <v>1829</v>
      </c>
      <c r="G88" s="3" t="s">
        <v>16</v>
      </c>
      <c r="H88">
        <v>27435</v>
      </c>
      <c r="I88">
        <v>21107.809089999999</v>
      </c>
      <c r="J88">
        <v>6327.1909079999996</v>
      </c>
      <c r="K88" s="5">
        <f>IF(Table1[[#This Row],[Revenue]]=0, 0, Table1[[#This Row],[Profit]]/Table1[[#This Row],[Revenue]])</f>
        <v>0.23062478250410059</v>
      </c>
    </row>
    <row r="89" spans="1:11" x14ac:dyDescent="0.35">
      <c r="A89" s="1">
        <v>45332</v>
      </c>
      <c r="B89" s="3" t="s">
        <v>27</v>
      </c>
      <c r="C89" s="3" t="s">
        <v>22</v>
      </c>
      <c r="D89" s="3" t="s">
        <v>21</v>
      </c>
      <c r="E89" s="4">
        <v>8</v>
      </c>
      <c r="F89" s="4">
        <v>222</v>
      </c>
      <c r="G89" s="3" t="s">
        <v>13</v>
      </c>
      <c r="H89">
        <v>1776</v>
      </c>
      <c r="I89">
        <v>1099.541013</v>
      </c>
      <c r="J89">
        <v>676.45898699999998</v>
      </c>
      <c r="K89" s="5">
        <f>IF(Table1[[#This Row],[Revenue]]=0, 0, Table1[[#This Row],[Profit]]/Table1[[#This Row],[Revenue]])</f>
        <v>0.38088906925675675</v>
      </c>
    </row>
    <row r="90" spans="1:11" x14ac:dyDescent="0.35">
      <c r="A90" s="1">
        <v>45448</v>
      </c>
      <c r="B90" s="3" t="s">
        <v>27</v>
      </c>
      <c r="C90" s="3" t="s">
        <v>11</v>
      </c>
      <c r="D90" s="3" t="s">
        <v>15</v>
      </c>
      <c r="E90" s="4">
        <v>19</v>
      </c>
      <c r="F90" s="4">
        <v>1771</v>
      </c>
      <c r="G90" s="3" t="s">
        <v>13</v>
      </c>
      <c r="H90">
        <v>33649</v>
      </c>
      <c r="I90">
        <v>29030.538560000001</v>
      </c>
      <c r="J90">
        <v>4618.46144</v>
      </c>
      <c r="K90" s="5">
        <f>IF(Table1[[#This Row],[Revenue]]=0, 0, Table1[[#This Row],[Profit]]/Table1[[#This Row],[Revenue]])</f>
        <v>0.13725404737139291</v>
      </c>
    </row>
    <row r="91" spans="1:11" x14ac:dyDescent="0.35">
      <c r="A91" s="1">
        <v>45306</v>
      </c>
      <c r="B91" s="3" t="s">
        <v>10</v>
      </c>
      <c r="C91" s="3" t="s">
        <v>22</v>
      </c>
      <c r="D91" s="3" t="s">
        <v>18</v>
      </c>
      <c r="E91" s="4">
        <v>10</v>
      </c>
      <c r="F91" s="4">
        <v>1536</v>
      </c>
      <c r="G91" s="3" t="s">
        <v>13</v>
      </c>
      <c r="H91">
        <v>15360</v>
      </c>
      <c r="I91">
        <v>13019.052180000001</v>
      </c>
      <c r="J91">
        <v>2340.9478210000002</v>
      </c>
      <c r="K91" s="5">
        <f>IF(Table1[[#This Row],[Revenue]]=0, 0, Table1[[#This Row],[Profit]]/Table1[[#This Row],[Revenue]])</f>
        <v>0.15240545709635417</v>
      </c>
    </row>
    <row r="92" spans="1:11" x14ac:dyDescent="0.35">
      <c r="A92" s="1">
        <v>45592</v>
      </c>
      <c r="B92" s="3" t="s">
        <v>27</v>
      </c>
      <c r="C92" s="3" t="s">
        <v>31</v>
      </c>
      <c r="D92" s="3" t="s">
        <v>21</v>
      </c>
      <c r="E92" s="4">
        <v>7</v>
      </c>
      <c r="F92" s="4">
        <v>1262</v>
      </c>
      <c r="G92" s="3" t="s">
        <v>19</v>
      </c>
      <c r="H92">
        <v>8834</v>
      </c>
      <c r="I92">
        <v>6218.3887770000001</v>
      </c>
      <c r="J92">
        <v>2615.6112229999999</v>
      </c>
      <c r="K92" s="5">
        <f>IF(Table1[[#This Row],[Revenue]]=0, 0, Table1[[#This Row],[Profit]]/Table1[[#This Row],[Revenue]])</f>
        <v>0.29608458489925288</v>
      </c>
    </row>
    <row r="93" spans="1:11" x14ac:dyDescent="0.35">
      <c r="A93" s="1">
        <v>45356</v>
      </c>
      <c r="B93" s="3" t="s">
        <v>20</v>
      </c>
      <c r="C93" s="3" t="s">
        <v>28</v>
      </c>
      <c r="D93" s="3" t="s">
        <v>25</v>
      </c>
      <c r="E93" s="4">
        <v>18</v>
      </c>
      <c r="F93" s="4">
        <v>1352</v>
      </c>
      <c r="G93" s="3" t="s">
        <v>16</v>
      </c>
      <c r="H93">
        <v>24336</v>
      </c>
      <c r="I93">
        <v>18739.833060000001</v>
      </c>
      <c r="J93">
        <v>5596.1669439999996</v>
      </c>
      <c r="K93" s="5">
        <f>IF(Table1[[#This Row],[Revenue]]=0, 0, Table1[[#This Row],[Profit]]/Table1[[#This Row],[Revenue]])</f>
        <v>0.22995426298487837</v>
      </c>
    </row>
    <row r="94" spans="1:11" x14ac:dyDescent="0.35">
      <c r="A94" s="1">
        <v>45636</v>
      </c>
      <c r="B94" s="3" t="s">
        <v>23</v>
      </c>
      <c r="C94" s="3" t="s">
        <v>22</v>
      </c>
      <c r="D94" s="3" t="s">
        <v>32</v>
      </c>
      <c r="E94" s="4">
        <v>16</v>
      </c>
      <c r="F94" s="4">
        <v>1397</v>
      </c>
      <c r="G94" s="3" t="s">
        <v>13</v>
      </c>
      <c r="H94">
        <v>22352</v>
      </c>
      <c r="I94">
        <v>19662.34605</v>
      </c>
      <c r="J94">
        <v>2689.6539469999998</v>
      </c>
      <c r="K94" s="5">
        <f>IF(Table1[[#This Row],[Revenue]]=0, 0, Table1[[#This Row],[Profit]]/Table1[[#This Row],[Revenue]])</f>
        <v>0.12033169054223335</v>
      </c>
    </row>
    <row r="95" spans="1:11" x14ac:dyDescent="0.35">
      <c r="A95" s="1">
        <v>45618</v>
      </c>
      <c r="B95" s="3" t="s">
        <v>20</v>
      </c>
      <c r="C95" s="3" t="s">
        <v>31</v>
      </c>
      <c r="D95" s="3" t="s">
        <v>18</v>
      </c>
      <c r="E95" s="4">
        <v>6</v>
      </c>
      <c r="F95" s="4">
        <v>538</v>
      </c>
      <c r="G95" s="3" t="s">
        <v>19</v>
      </c>
      <c r="H95">
        <v>3228</v>
      </c>
      <c r="I95">
        <v>2199.853075</v>
      </c>
      <c r="J95">
        <v>1028.146925</v>
      </c>
      <c r="K95" s="5">
        <f>IF(Table1[[#This Row],[Revenue]]=0, 0, Table1[[#This Row],[Profit]]/Table1[[#This Row],[Revenue]])</f>
        <v>0.31850896065675344</v>
      </c>
    </row>
    <row r="96" spans="1:11" x14ac:dyDescent="0.35">
      <c r="A96" s="1">
        <v>45300</v>
      </c>
      <c r="B96" s="3" t="s">
        <v>10</v>
      </c>
      <c r="C96" s="3" t="s">
        <v>26</v>
      </c>
      <c r="D96" s="3" t="s">
        <v>12</v>
      </c>
      <c r="E96" s="4">
        <v>9</v>
      </c>
      <c r="F96" s="4">
        <v>1121</v>
      </c>
      <c r="G96" s="3" t="s">
        <v>19</v>
      </c>
      <c r="H96">
        <v>10089</v>
      </c>
      <c r="I96">
        <v>8300.5893589999996</v>
      </c>
      <c r="J96">
        <v>1788.4106409999999</v>
      </c>
      <c r="K96" s="5">
        <f>IF(Table1[[#This Row],[Revenue]]=0, 0, Table1[[#This Row],[Profit]]/Table1[[#This Row],[Revenue]])</f>
        <v>0.17726341966498166</v>
      </c>
    </row>
    <row r="97" spans="1:11" x14ac:dyDescent="0.35">
      <c r="A97" s="1">
        <v>45635</v>
      </c>
      <c r="B97" s="3" t="s">
        <v>20</v>
      </c>
      <c r="C97" s="3" t="s">
        <v>22</v>
      </c>
      <c r="D97" s="3" t="s">
        <v>25</v>
      </c>
      <c r="E97" s="4">
        <v>13</v>
      </c>
      <c r="F97" s="4">
        <v>661</v>
      </c>
      <c r="G97" s="3" t="s">
        <v>13</v>
      </c>
      <c r="H97">
        <v>8593</v>
      </c>
      <c r="I97">
        <v>5369.0743259999999</v>
      </c>
      <c r="J97">
        <v>3223.9256740000001</v>
      </c>
      <c r="K97" s="5">
        <f>IF(Table1[[#This Row],[Revenue]]=0, 0, Table1[[#This Row],[Profit]]/Table1[[#This Row],[Revenue]])</f>
        <v>0.37518045781450016</v>
      </c>
    </row>
    <row r="98" spans="1:11" x14ac:dyDescent="0.35">
      <c r="A98" s="1">
        <v>45420</v>
      </c>
      <c r="B98" s="3" t="s">
        <v>23</v>
      </c>
      <c r="C98" s="3" t="s">
        <v>28</v>
      </c>
      <c r="D98" s="3" t="s">
        <v>21</v>
      </c>
      <c r="E98" s="4">
        <v>8</v>
      </c>
      <c r="F98" s="4">
        <v>217</v>
      </c>
      <c r="G98" s="3" t="s">
        <v>16</v>
      </c>
      <c r="H98">
        <v>1736</v>
      </c>
      <c r="I98">
        <v>1314.1722139999999</v>
      </c>
      <c r="J98">
        <v>421.82778560000003</v>
      </c>
      <c r="K98" s="5">
        <f>IF(Table1[[#This Row],[Revenue]]=0, 0, Table1[[#This Row],[Profit]]/Table1[[#This Row],[Revenue]])</f>
        <v>0.24298835576036867</v>
      </c>
    </row>
    <row r="99" spans="1:11" x14ac:dyDescent="0.35">
      <c r="A99" s="1">
        <v>45427</v>
      </c>
      <c r="B99" s="3" t="s">
        <v>20</v>
      </c>
      <c r="C99" s="3" t="s">
        <v>14</v>
      </c>
      <c r="D99" s="3" t="s">
        <v>44</v>
      </c>
      <c r="E99" s="4">
        <v>16</v>
      </c>
      <c r="F99" s="4">
        <v>1837</v>
      </c>
      <c r="G99" s="3" t="s">
        <v>16</v>
      </c>
      <c r="H99">
        <v>29392</v>
      </c>
      <c r="I99">
        <v>25429.6862</v>
      </c>
      <c r="J99">
        <v>3962.3138039999999</v>
      </c>
      <c r="K99" s="5">
        <f>IF(Table1[[#This Row],[Revenue]]=0, 0, Table1[[#This Row],[Profit]]/Table1[[#This Row],[Revenue]])</f>
        <v>0.13480926115949918</v>
      </c>
    </row>
    <row r="100" spans="1:11" x14ac:dyDescent="0.35">
      <c r="A100" s="1">
        <v>45354</v>
      </c>
      <c r="B100" s="3" t="s">
        <v>10</v>
      </c>
      <c r="C100" s="3" t="s">
        <v>11</v>
      </c>
      <c r="D100" s="3" t="s">
        <v>30</v>
      </c>
      <c r="E100" s="4">
        <v>13</v>
      </c>
      <c r="F100" s="4">
        <v>1004</v>
      </c>
      <c r="G100" s="3" t="s">
        <v>13</v>
      </c>
      <c r="H100">
        <v>13052</v>
      </c>
      <c r="I100">
        <v>9991.4728730000006</v>
      </c>
      <c r="J100">
        <v>3060.5271269999998</v>
      </c>
      <c r="K100" s="5">
        <f>IF(Table1[[#This Row],[Revenue]]=0, 0, Table1[[#This Row],[Profit]]/Table1[[#This Row],[Revenue]])</f>
        <v>0.23448721475635917</v>
      </c>
    </row>
    <row r="101" spans="1:11" x14ac:dyDescent="0.35">
      <c r="A101" s="1">
        <v>45430</v>
      </c>
      <c r="B101" s="3" t="s">
        <v>27</v>
      </c>
      <c r="C101" s="3" t="s">
        <v>31</v>
      </c>
      <c r="D101" s="3" t="s">
        <v>15</v>
      </c>
      <c r="E101" s="4">
        <v>13</v>
      </c>
      <c r="F101" s="4">
        <v>1606</v>
      </c>
      <c r="G101" s="3" t="s">
        <v>19</v>
      </c>
      <c r="H101">
        <v>20878</v>
      </c>
      <c r="I101">
        <v>16386.63796</v>
      </c>
      <c r="J101">
        <v>4491.3620440000004</v>
      </c>
      <c r="K101" s="5">
        <f>IF(Table1[[#This Row],[Revenue]]=0, 0, Table1[[#This Row],[Profit]]/Table1[[#This Row],[Revenue]])</f>
        <v>0.21512415193026155</v>
      </c>
    </row>
    <row r="102" spans="1:11" x14ac:dyDescent="0.35">
      <c r="A102" s="1">
        <v>45372</v>
      </c>
      <c r="B102" s="3" t="s">
        <v>20</v>
      </c>
      <c r="C102" s="3" t="s">
        <v>11</v>
      </c>
      <c r="D102" s="3" t="s">
        <v>25</v>
      </c>
      <c r="E102" s="4">
        <v>17</v>
      </c>
      <c r="F102" s="4">
        <v>494</v>
      </c>
      <c r="G102" s="3" t="s">
        <v>13</v>
      </c>
      <c r="H102">
        <v>8398</v>
      </c>
      <c r="I102">
        <v>7325.5064359999997</v>
      </c>
      <c r="J102">
        <v>1072.4935640000001</v>
      </c>
      <c r="K102" s="5">
        <f>IF(Table1[[#This Row],[Revenue]]=0, 0, Table1[[#This Row],[Profit]]/Table1[[#This Row],[Revenue]])</f>
        <v>0.12770821195522744</v>
      </c>
    </row>
    <row r="103" spans="1:11" x14ac:dyDescent="0.35">
      <c r="A103" s="1">
        <v>45454</v>
      </c>
      <c r="B103" s="3" t="s">
        <v>10</v>
      </c>
      <c r="C103" s="3" t="s">
        <v>28</v>
      </c>
      <c r="D103" s="3" t="s">
        <v>29</v>
      </c>
      <c r="E103" s="4">
        <v>5</v>
      </c>
      <c r="F103" s="4">
        <v>1826</v>
      </c>
      <c r="G103" s="3" t="s">
        <v>16</v>
      </c>
      <c r="H103">
        <v>9130</v>
      </c>
      <c r="I103">
        <v>7437.3727929999995</v>
      </c>
      <c r="J103">
        <v>1692.627207</v>
      </c>
      <c r="K103" s="5">
        <f>IF(Table1[[#This Row],[Revenue]]=0, 0, Table1[[#This Row],[Profit]]/Table1[[#This Row],[Revenue]])</f>
        <v>0.18539180799561883</v>
      </c>
    </row>
    <row r="104" spans="1:11" x14ac:dyDescent="0.35">
      <c r="A104" s="1">
        <v>45580</v>
      </c>
      <c r="B104" s="3" t="s">
        <v>10</v>
      </c>
      <c r="C104" s="3" t="s">
        <v>17</v>
      </c>
      <c r="D104" s="3" t="s">
        <v>21</v>
      </c>
      <c r="E104" s="4">
        <v>17</v>
      </c>
      <c r="F104" s="4">
        <v>975</v>
      </c>
      <c r="G104" s="3" t="s">
        <v>19</v>
      </c>
      <c r="H104">
        <v>16575</v>
      </c>
      <c r="I104">
        <v>13405.21198</v>
      </c>
      <c r="J104">
        <v>3169.7880150000001</v>
      </c>
      <c r="K104" s="5">
        <f>IF(Table1[[#This Row],[Revenue]]=0, 0, Table1[[#This Row],[Profit]]/Table1[[#This Row],[Revenue]])</f>
        <v>0.19123909592760183</v>
      </c>
    </row>
    <row r="105" spans="1:11" x14ac:dyDescent="0.35">
      <c r="A105" s="1">
        <v>45552</v>
      </c>
      <c r="B105" s="3" t="s">
        <v>23</v>
      </c>
      <c r="C105" s="3" t="s">
        <v>31</v>
      </c>
      <c r="D105" s="3" t="s">
        <v>25</v>
      </c>
      <c r="E105" s="4">
        <v>9</v>
      </c>
      <c r="F105" s="4">
        <v>1583</v>
      </c>
      <c r="G105" s="3" t="s">
        <v>19</v>
      </c>
      <c r="H105">
        <v>14247</v>
      </c>
      <c r="I105">
        <v>11054.463949999999</v>
      </c>
      <c r="J105">
        <v>3192.536051</v>
      </c>
      <c r="K105" s="5">
        <f>IF(Table1[[#This Row],[Revenue]]=0, 0, Table1[[#This Row],[Profit]]/Table1[[#This Row],[Revenue]])</f>
        <v>0.22408479336000561</v>
      </c>
    </row>
    <row r="106" spans="1:11" x14ac:dyDescent="0.35">
      <c r="A106" s="1">
        <v>45522</v>
      </c>
      <c r="B106" s="3" t="s">
        <v>23</v>
      </c>
      <c r="C106" s="3" t="s">
        <v>22</v>
      </c>
      <c r="D106" s="3" t="s">
        <v>29</v>
      </c>
      <c r="E106" s="4">
        <v>2</v>
      </c>
      <c r="F106" s="4">
        <v>1958</v>
      </c>
      <c r="G106" s="3" t="s">
        <v>13</v>
      </c>
      <c r="H106">
        <v>3916</v>
      </c>
      <c r="I106">
        <v>3093.2350240000001</v>
      </c>
      <c r="J106">
        <v>822.76497600000005</v>
      </c>
      <c r="K106" s="5">
        <f>IF(Table1[[#This Row],[Revenue]]=0, 0, Table1[[#This Row],[Profit]]/Table1[[#This Row],[Revenue]])</f>
        <v>0.21010341573033708</v>
      </c>
    </row>
    <row r="107" spans="1:11" x14ac:dyDescent="0.35">
      <c r="A107" s="1">
        <v>45332</v>
      </c>
      <c r="B107" s="3" t="s">
        <v>20</v>
      </c>
      <c r="C107" s="3" t="s">
        <v>31</v>
      </c>
      <c r="D107" s="3" t="s">
        <v>29</v>
      </c>
      <c r="E107" s="4">
        <v>18</v>
      </c>
      <c r="F107" s="4">
        <v>1816</v>
      </c>
      <c r="G107" s="3" t="s">
        <v>19</v>
      </c>
      <c r="H107">
        <v>32688</v>
      </c>
      <c r="I107">
        <v>27494.256870000001</v>
      </c>
      <c r="J107">
        <v>5193.7431299999998</v>
      </c>
      <c r="K107" s="5">
        <f>IF(Table1[[#This Row],[Revenue]]=0, 0, Table1[[#This Row],[Profit]]/Table1[[#This Row],[Revenue]])</f>
        <v>0.15888837279735682</v>
      </c>
    </row>
    <row r="108" spans="1:11" x14ac:dyDescent="0.35">
      <c r="A108" s="1">
        <v>45319</v>
      </c>
      <c r="B108" s="3" t="s">
        <v>27</v>
      </c>
      <c r="C108" s="3" t="s">
        <v>11</v>
      </c>
      <c r="D108" s="3" t="s">
        <v>32</v>
      </c>
      <c r="E108" s="4">
        <v>9</v>
      </c>
      <c r="F108" s="4">
        <v>1034</v>
      </c>
      <c r="G108" s="3" t="s">
        <v>13</v>
      </c>
      <c r="H108">
        <v>9306</v>
      </c>
      <c r="I108">
        <v>8317.4229219999997</v>
      </c>
      <c r="J108">
        <v>988.57707809999999</v>
      </c>
      <c r="K108" s="5">
        <f>IF(Table1[[#This Row],[Revenue]]=0, 0, Table1[[#This Row],[Profit]]/Table1[[#This Row],[Revenue]])</f>
        <v>0.10623007501611863</v>
      </c>
    </row>
    <row r="109" spans="1:11" x14ac:dyDescent="0.35">
      <c r="A109" s="1">
        <v>45426</v>
      </c>
      <c r="B109" s="3" t="s">
        <v>10</v>
      </c>
      <c r="C109" s="3" t="s">
        <v>26</v>
      </c>
      <c r="D109" s="3" t="s">
        <v>18</v>
      </c>
      <c r="E109" s="4">
        <v>6</v>
      </c>
      <c r="F109" s="4">
        <v>1201</v>
      </c>
      <c r="G109" s="3" t="s">
        <v>19</v>
      </c>
      <c r="H109">
        <v>7206</v>
      </c>
      <c r="I109">
        <v>6042.9343500000004</v>
      </c>
      <c r="J109">
        <v>1163.06565</v>
      </c>
      <c r="K109" s="5">
        <f>IF(Table1[[#This Row],[Revenue]]=0, 0, Table1[[#This Row],[Profit]]/Table1[[#This Row],[Revenue]])</f>
        <v>0.16140239383846794</v>
      </c>
    </row>
    <row r="110" spans="1:11" x14ac:dyDescent="0.35">
      <c r="A110" s="1">
        <v>45492</v>
      </c>
      <c r="B110" s="3" t="s">
        <v>20</v>
      </c>
      <c r="C110" s="3" t="s">
        <v>31</v>
      </c>
      <c r="D110" s="3" t="s">
        <v>32</v>
      </c>
      <c r="E110" s="4">
        <v>11</v>
      </c>
      <c r="F110" s="4">
        <v>1051</v>
      </c>
      <c r="G110" s="3" t="s">
        <v>19</v>
      </c>
      <c r="H110">
        <v>11561</v>
      </c>
      <c r="I110">
        <v>9390.5499930000005</v>
      </c>
      <c r="J110">
        <v>2170.4500069999999</v>
      </c>
      <c r="K110" s="5">
        <f>IF(Table1[[#This Row],[Revenue]]=0, 0, Table1[[#This Row],[Profit]]/Table1[[#This Row],[Revenue]])</f>
        <v>0.18773895052331113</v>
      </c>
    </row>
    <row r="111" spans="1:11" x14ac:dyDescent="0.35">
      <c r="A111" s="1">
        <v>45619</v>
      </c>
      <c r="B111" s="3" t="s">
        <v>10</v>
      </c>
      <c r="C111" s="3" t="s">
        <v>22</v>
      </c>
      <c r="D111" s="3" t="s">
        <v>21</v>
      </c>
      <c r="E111" s="4">
        <v>6</v>
      </c>
      <c r="F111" s="4">
        <v>1535</v>
      </c>
      <c r="G111" s="3" t="s">
        <v>13</v>
      </c>
      <c r="H111">
        <v>9210</v>
      </c>
      <c r="I111">
        <v>5900.5105130000002</v>
      </c>
      <c r="J111">
        <v>3309.4894869999998</v>
      </c>
      <c r="K111" s="5">
        <f>IF(Table1[[#This Row],[Revenue]]=0, 0, Table1[[#This Row],[Profit]]/Table1[[#This Row],[Revenue]])</f>
        <v>0.3593365349619978</v>
      </c>
    </row>
    <row r="112" spans="1:11" x14ac:dyDescent="0.35">
      <c r="A112" s="1">
        <v>45559</v>
      </c>
      <c r="B112" s="3" t="s">
        <v>10</v>
      </c>
      <c r="C112" s="3" t="s">
        <v>17</v>
      </c>
      <c r="D112" s="3" t="s">
        <v>29</v>
      </c>
      <c r="E112" s="4">
        <v>6</v>
      </c>
      <c r="F112" s="4">
        <v>174</v>
      </c>
      <c r="G112" s="3" t="s">
        <v>19</v>
      </c>
      <c r="H112">
        <v>1044</v>
      </c>
      <c r="I112">
        <v>882.3095773</v>
      </c>
      <c r="J112">
        <v>161.6904227</v>
      </c>
      <c r="K112" s="5">
        <f>IF(Table1[[#This Row],[Revenue]]=0, 0, Table1[[#This Row],[Profit]]/Table1[[#This Row],[Revenue]])</f>
        <v>0.15487588381226053</v>
      </c>
    </row>
    <row r="113" spans="1:11" x14ac:dyDescent="0.35">
      <c r="A113" s="1">
        <v>45324</v>
      </c>
      <c r="B113" s="3" t="s">
        <v>27</v>
      </c>
      <c r="C113" s="3" t="s">
        <v>14</v>
      </c>
      <c r="D113" s="3" t="s">
        <v>12</v>
      </c>
      <c r="E113" s="4">
        <v>13</v>
      </c>
      <c r="F113" s="4">
        <v>394</v>
      </c>
      <c r="G113" s="3" t="s">
        <v>16</v>
      </c>
      <c r="H113">
        <v>5122</v>
      </c>
      <c r="I113">
        <v>4204.1289450000004</v>
      </c>
      <c r="J113">
        <v>917.87105510000004</v>
      </c>
      <c r="K113" s="5">
        <f>IF(Table1[[#This Row],[Revenue]]=0, 0, Table1[[#This Row],[Profit]]/Table1[[#This Row],[Revenue]])</f>
        <v>0.17920168978914489</v>
      </c>
    </row>
    <row r="114" spans="1:11" x14ac:dyDescent="0.35">
      <c r="A114" s="1">
        <v>45339</v>
      </c>
      <c r="B114" s="3" t="s">
        <v>27</v>
      </c>
      <c r="C114" s="3" t="s">
        <v>24</v>
      </c>
      <c r="D114" s="3" t="s">
        <v>25</v>
      </c>
      <c r="E114" s="4">
        <v>11</v>
      </c>
      <c r="F114" s="4">
        <v>1916</v>
      </c>
      <c r="G114" s="3" t="s">
        <v>19</v>
      </c>
      <c r="H114">
        <v>21076</v>
      </c>
      <c r="I114">
        <v>17516.88869</v>
      </c>
      <c r="J114">
        <v>3559.1113150000001</v>
      </c>
      <c r="K114" s="5">
        <f>IF(Table1[[#This Row],[Revenue]]=0, 0, Table1[[#This Row],[Profit]]/Table1[[#This Row],[Revenue]])</f>
        <v>0.16887034138356424</v>
      </c>
    </row>
    <row r="115" spans="1:11" x14ac:dyDescent="0.35">
      <c r="A115" s="1">
        <v>45353</v>
      </c>
      <c r="B115" s="3" t="s">
        <v>20</v>
      </c>
      <c r="C115" s="3" t="s">
        <v>26</v>
      </c>
      <c r="D115" s="3" t="s">
        <v>30</v>
      </c>
      <c r="E115" s="4">
        <v>14</v>
      </c>
      <c r="F115" s="4">
        <v>120</v>
      </c>
      <c r="G115" s="3" t="s">
        <v>19</v>
      </c>
      <c r="H115">
        <v>1680</v>
      </c>
      <c r="I115">
        <v>1124.4726250000001</v>
      </c>
      <c r="J115">
        <v>555.52737500000001</v>
      </c>
      <c r="K115" s="5">
        <f>IF(Table1[[#This Row],[Revenue]]=0, 0, Table1[[#This Row],[Profit]]/Table1[[#This Row],[Revenue]])</f>
        <v>0.33067105654761902</v>
      </c>
    </row>
    <row r="116" spans="1:11" x14ac:dyDescent="0.35">
      <c r="A116" s="1">
        <v>45507</v>
      </c>
      <c r="B116" s="3" t="s">
        <v>27</v>
      </c>
      <c r="C116" s="3" t="s">
        <v>14</v>
      </c>
      <c r="D116" s="3" t="s">
        <v>29</v>
      </c>
      <c r="E116" s="4">
        <v>2</v>
      </c>
      <c r="F116" s="4">
        <v>1294</v>
      </c>
      <c r="G116" s="3" t="s">
        <v>16</v>
      </c>
      <c r="H116">
        <v>2588</v>
      </c>
      <c r="I116">
        <v>2254.233686</v>
      </c>
      <c r="J116">
        <v>333.76631400000002</v>
      </c>
      <c r="K116" s="5">
        <f>IF(Table1[[#This Row],[Revenue]]=0, 0, Table1[[#This Row],[Profit]]/Table1[[#This Row],[Revenue]])</f>
        <v>0.1289668910355487</v>
      </c>
    </row>
    <row r="117" spans="1:11" x14ac:dyDescent="0.35">
      <c r="A117" s="1">
        <v>45584</v>
      </c>
      <c r="B117" s="3" t="s">
        <v>27</v>
      </c>
      <c r="C117" s="3" t="s">
        <v>43</v>
      </c>
      <c r="D117" s="3" t="s">
        <v>25</v>
      </c>
      <c r="E117" s="4">
        <v>8</v>
      </c>
      <c r="F117" s="4">
        <v>1138</v>
      </c>
      <c r="G117" s="3" t="s">
        <v>19</v>
      </c>
      <c r="H117">
        <v>9104</v>
      </c>
      <c r="I117">
        <v>5728.094873</v>
      </c>
      <c r="J117">
        <v>3375.905127</v>
      </c>
      <c r="K117" s="5">
        <f>IF(Table1[[#This Row],[Revenue]]=0, 0, Table1[[#This Row],[Profit]]/Table1[[#This Row],[Revenue]])</f>
        <v>0.37081558952108962</v>
      </c>
    </row>
    <row r="118" spans="1:11" x14ac:dyDescent="0.35">
      <c r="A118" s="1">
        <v>45463</v>
      </c>
      <c r="B118" s="3" t="s">
        <v>27</v>
      </c>
      <c r="C118" s="3" t="s">
        <v>11</v>
      </c>
      <c r="D118" s="3" t="s">
        <v>30</v>
      </c>
      <c r="E118" s="4">
        <v>3</v>
      </c>
      <c r="F118" s="4">
        <v>659</v>
      </c>
      <c r="G118" s="3" t="s">
        <v>13</v>
      </c>
      <c r="H118">
        <v>1977</v>
      </c>
      <c r="I118">
        <v>1579.4392009999999</v>
      </c>
      <c r="J118">
        <v>397.56079870000002</v>
      </c>
      <c r="K118" s="5">
        <f>IF(Table1[[#This Row],[Revenue]]=0, 0, Table1[[#This Row],[Profit]]/Table1[[#This Row],[Revenue]])</f>
        <v>0.20109296848760749</v>
      </c>
    </row>
    <row r="119" spans="1:11" x14ac:dyDescent="0.35">
      <c r="A119" s="1">
        <v>45651</v>
      </c>
      <c r="B119" s="3" t="s">
        <v>23</v>
      </c>
      <c r="C119" s="3" t="s">
        <v>28</v>
      </c>
      <c r="D119" s="3" t="s">
        <v>32</v>
      </c>
      <c r="E119" s="4">
        <v>1</v>
      </c>
      <c r="F119" s="4">
        <v>1209</v>
      </c>
      <c r="G119" s="3" t="s">
        <v>16</v>
      </c>
      <c r="H119">
        <v>1209</v>
      </c>
      <c r="I119">
        <v>969.75623599999994</v>
      </c>
      <c r="J119">
        <v>239.243764</v>
      </c>
      <c r="K119" s="5">
        <f>IF(Table1[[#This Row],[Revenue]]=0, 0, Table1[[#This Row],[Profit]]/Table1[[#This Row],[Revenue]])</f>
        <v>0.19788566087675766</v>
      </c>
    </row>
    <row r="120" spans="1:11" x14ac:dyDescent="0.35">
      <c r="A120" s="1">
        <v>45505</v>
      </c>
      <c r="B120" s="3" t="s">
        <v>10</v>
      </c>
      <c r="C120" s="3" t="s">
        <v>11</v>
      </c>
      <c r="D120" s="3" t="s">
        <v>32</v>
      </c>
      <c r="E120" s="4">
        <v>19</v>
      </c>
      <c r="F120" s="4">
        <v>1272</v>
      </c>
      <c r="G120" s="3" t="s">
        <v>13</v>
      </c>
      <c r="H120">
        <v>24168</v>
      </c>
      <c r="I120">
        <v>16772.528439999998</v>
      </c>
      <c r="J120">
        <v>7395.4715640000004</v>
      </c>
      <c r="K120" s="5">
        <f>IF(Table1[[#This Row],[Revenue]]=0, 0, Table1[[#This Row],[Profit]]/Table1[[#This Row],[Revenue]])</f>
        <v>0.30600263008937439</v>
      </c>
    </row>
    <row r="121" spans="1:11" x14ac:dyDescent="0.35">
      <c r="A121" s="1">
        <v>45326</v>
      </c>
      <c r="B121" s="3" t="s">
        <v>10</v>
      </c>
      <c r="C121" s="3" t="s">
        <v>43</v>
      </c>
      <c r="D121" s="3" t="s">
        <v>18</v>
      </c>
      <c r="E121" s="4">
        <v>18</v>
      </c>
      <c r="F121" s="4">
        <v>1823</v>
      </c>
      <c r="G121" s="3" t="s">
        <v>16</v>
      </c>
      <c r="H121">
        <v>32814</v>
      </c>
      <c r="I121">
        <v>26594.30099</v>
      </c>
      <c r="J121">
        <v>6219.6990100000003</v>
      </c>
      <c r="K121" s="5">
        <f>IF(Table1[[#This Row],[Revenue]]=0, 0, Table1[[#This Row],[Profit]]/Table1[[#This Row],[Revenue]])</f>
        <v>0.18954406686170538</v>
      </c>
    </row>
    <row r="122" spans="1:11" x14ac:dyDescent="0.35">
      <c r="A122" s="1">
        <v>45518</v>
      </c>
      <c r="B122" s="3" t="s">
        <v>10</v>
      </c>
      <c r="C122" s="3" t="s">
        <v>22</v>
      </c>
      <c r="D122" s="3" t="s">
        <v>25</v>
      </c>
      <c r="E122" s="4">
        <v>17</v>
      </c>
      <c r="F122" s="4">
        <v>471</v>
      </c>
      <c r="G122" s="3" t="s">
        <v>13</v>
      </c>
      <c r="H122">
        <v>8007</v>
      </c>
      <c r="I122">
        <v>5736.0479450000003</v>
      </c>
      <c r="J122">
        <v>2270.9520550000002</v>
      </c>
      <c r="K122" s="5">
        <f>IF(Table1[[#This Row],[Revenue]]=0, 0, Table1[[#This Row],[Profit]]/Table1[[#This Row],[Revenue]])</f>
        <v>0.28362083864118898</v>
      </c>
    </row>
    <row r="123" spans="1:11" x14ac:dyDescent="0.35">
      <c r="A123" s="1">
        <v>45392</v>
      </c>
      <c r="B123" s="3" t="s">
        <v>10</v>
      </c>
      <c r="C123" s="3" t="s">
        <v>11</v>
      </c>
      <c r="D123" s="3" t="s">
        <v>29</v>
      </c>
      <c r="E123" s="4">
        <v>13</v>
      </c>
      <c r="F123" s="4">
        <v>1603</v>
      </c>
      <c r="G123" s="3" t="s">
        <v>13</v>
      </c>
      <c r="H123">
        <v>20839</v>
      </c>
      <c r="I123">
        <v>12504.49727</v>
      </c>
      <c r="J123">
        <v>8334.5027279999995</v>
      </c>
      <c r="K123" s="5">
        <f>IF(Table1[[#This Row],[Revenue]]=0, 0, Table1[[#This Row],[Profit]]/Table1[[#This Row],[Revenue]])</f>
        <v>0.39994734526608761</v>
      </c>
    </row>
    <row r="124" spans="1:11" x14ac:dyDescent="0.35">
      <c r="A124" s="1">
        <v>45548</v>
      </c>
      <c r="B124" s="3" t="s">
        <v>10</v>
      </c>
      <c r="C124" s="3" t="s">
        <v>11</v>
      </c>
      <c r="D124" s="3" t="s">
        <v>32</v>
      </c>
      <c r="E124" s="4">
        <v>1</v>
      </c>
      <c r="F124" s="4">
        <v>1274</v>
      </c>
      <c r="G124" s="3" t="s">
        <v>13</v>
      </c>
      <c r="H124">
        <v>1274</v>
      </c>
      <c r="I124">
        <v>1101.736705</v>
      </c>
      <c r="J124">
        <v>172.26329519999999</v>
      </c>
      <c r="K124" s="5">
        <f>IF(Table1[[#This Row],[Revenue]]=0, 0, Table1[[#This Row],[Profit]]/Table1[[#This Row],[Revenue]])</f>
        <v>0.1352145174254317</v>
      </c>
    </row>
    <row r="125" spans="1:11" x14ac:dyDescent="0.35">
      <c r="A125" s="1">
        <v>45296</v>
      </c>
      <c r="B125" s="3" t="s">
        <v>10</v>
      </c>
      <c r="C125" s="3" t="s">
        <v>22</v>
      </c>
      <c r="D125" s="3" t="s">
        <v>32</v>
      </c>
      <c r="E125" s="4">
        <v>4</v>
      </c>
      <c r="F125" s="4">
        <v>1264</v>
      </c>
      <c r="G125" s="3" t="s">
        <v>13</v>
      </c>
      <c r="H125">
        <v>5056</v>
      </c>
      <c r="I125">
        <v>3371.3822770000002</v>
      </c>
      <c r="J125">
        <v>1684.6177230000001</v>
      </c>
      <c r="K125" s="5">
        <f>IF(Table1[[#This Row],[Revenue]]=0, 0, Table1[[#This Row],[Profit]]/Table1[[#This Row],[Revenue]])</f>
        <v>0.33319179647943037</v>
      </c>
    </row>
    <row r="126" spans="1:11" x14ac:dyDescent="0.35">
      <c r="A126" s="1">
        <v>45509</v>
      </c>
      <c r="B126" s="3" t="s">
        <v>10</v>
      </c>
      <c r="C126" s="3" t="s">
        <v>24</v>
      </c>
      <c r="D126" s="3" t="s">
        <v>18</v>
      </c>
      <c r="E126" s="4">
        <v>13</v>
      </c>
      <c r="F126" s="4">
        <v>1192</v>
      </c>
      <c r="G126" s="3" t="s">
        <v>19</v>
      </c>
      <c r="H126">
        <v>15496</v>
      </c>
      <c r="I126">
        <v>9822.4975830000003</v>
      </c>
      <c r="J126">
        <v>5673.5024169999997</v>
      </c>
      <c r="K126" s="5">
        <f>IF(Table1[[#This Row],[Revenue]]=0, 0, Table1[[#This Row],[Profit]]/Table1[[#This Row],[Revenue]])</f>
        <v>0.36612689836086731</v>
      </c>
    </row>
    <row r="127" spans="1:11" x14ac:dyDescent="0.35">
      <c r="A127" s="1">
        <v>45546</v>
      </c>
      <c r="B127" s="3" t="s">
        <v>10</v>
      </c>
      <c r="C127" s="3" t="s">
        <v>31</v>
      </c>
      <c r="D127" s="3" t="s">
        <v>30</v>
      </c>
      <c r="E127" s="4">
        <v>17</v>
      </c>
      <c r="F127" s="4">
        <v>1383</v>
      </c>
      <c r="G127" s="3" t="s">
        <v>19</v>
      </c>
      <c r="H127">
        <v>23511</v>
      </c>
      <c r="I127">
        <v>18918.365529999999</v>
      </c>
      <c r="J127">
        <v>4592.6344660000004</v>
      </c>
      <c r="K127" s="5">
        <f>IF(Table1[[#This Row],[Revenue]]=0, 0, Table1[[#This Row],[Profit]]/Table1[[#This Row],[Revenue]])</f>
        <v>0.19533981821275151</v>
      </c>
    </row>
    <row r="128" spans="1:11" x14ac:dyDescent="0.35">
      <c r="A128" s="1">
        <v>45650</v>
      </c>
      <c r="B128" s="3" t="s">
        <v>23</v>
      </c>
      <c r="C128" s="3" t="s">
        <v>28</v>
      </c>
      <c r="D128" s="3" t="s">
        <v>18</v>
      </c>
      <c r="E128" s="4">
        <v>11</v>
      </c>
      <c r="F128" s="4">
        <v>945</v>
      </c>
      <c r="G128" s="3" t="s">
        <v>16</v>
      </c>
      <c r="H128">
        <v>10395</v>
      </c>
      <c r="I128">
        <v>7611.3430410000001</v>
      </c>
      <c r="J128">
        <v>2783.6569589999999</v>
      </c>
      <c r="K128" s="5">
        <f>IF(Table1[[#This Row],[Revenue]]=0, 0, Table1[[#This Row],[Profit]]/Table1[[#This Row],[Revenue]])</f>
        <v>0.26778806724386722</v>
      </c>
    </row>
    <row r="129" spans="1:11" x14ac:dyDescent="0.35">
      <c r="A129" s="1">
        <v>45574</v>
      </c>
      <c r="B129" s="3" t="s">
        <v>10</v>
      </c>
      <c r="C129" s="3" t="s">
        <v>14</v>
      </c>
      <c r="D129" s="3" t="s">
        <v>12</v>
      </c>
      <c r="E129" s="4">
        <v>2</v>
      </c>
      <c r="F129" s="4">
        <v>620</v>
      </c>
      <c r="G129" s="3" t="s">
        <v>16</v>
      </c>
      <c r="H129">
        <v>1240</v>
      </c>
      <c r="I129">
        <v>1040.3318280000001</v>
      </c>
      <c r="J129">
        <v>199.66817169999999</v>
      </c>
      <c r="K129" s="5">
        <f>IF(Table1[[#This Row],[Revenue]]=0, 0, Table1[[#This Row],[Profit]]/Table1[[#This Row],[Revenue]])</f>
        <v>0.16102271911290322</v>
      </c>
    </row>
    <row r="130" spans="1:11" x14ac:dyDescent="0.35">
      <c r="A130" s="1">
        <v>45498</v>
      </c>
      <c r="B130" s="3" t="s">
        <v>23</v>
      </c>
      <c r="C130" s="3" t="s">
        <v>31</v>
      </c>
      <c r="D130" s="3" t="s">
        <v>29</v>
      </c>
      <c r="E130" s="4">
        <v>16</v>
      </c>
      <c r="F130" s="4">
        <v>1756</v>
      </c>
      <c r="G130" s="3" t="s">
        <v>19</v>
      </c>
      <c r="H130">
        <v>28096</v>
      </c>
      <c r="I130">
        <v>24118.547060000001</v>
      </c>
      <c r="J130">
        <v>3977.4529360000001</v>
      </c>
      <c r="K130" s="5">
        <f>IF(Table1[[#This Row],[Revenue]]=0, 0, Table1[[#This Row],[Profit]]/Table1[[#This Row],[Revenue]])</f>
        <v>0.14156651964692482</v>
      </c>
    </row>
    <row r="131" spans="1:11" x14ac:dyDescent="0.35">
      <c r="A131" s="1">
        <v>45306</v>
      </c>
      <c r="B131" s="3" t="s">
        <v>20</v>
      </c>
      <c r="C131" s="3" t="s">
        <v>11</v>
      </c>
      <c r="D131" s="3" t="s">
        <v>25</v>
      </c>
      <c r="E131" s="4">
        <v>2</v>
      </c>
      <c r="F131" s="4">
        <v>470</v>
      </c>
      <c r="G131" s="3" t="s">
        <v>13</v>
      </c>
      <c r="H131">
        <v>940</v>
      </c>
      <c r="I131">
        <v>802.56886340000005</v>
      </c>
      <c r="J131">
        <v>137.4311366</v>
      </c>
      <c r="K131" s="5">
        <f>IF(Table1[[#This Row],[Revenue]]=0, 0, Table1[[#This Row],[Profit]]/Table1[[#This Row],[Revenue]])</f>
        <v>0.14620333680851064</v>
      </c>
    </row>
    <row r="132" spans="1:11" x14ac:dyDescent="0.35">
      <c r="A132" s="1">
        <v>45637</v>
      </c>
      <c r="B132" s="3" t="s">
        <v>27</v>
      </c>
      <c r="C132" s="3" t="s">
        <v>17</v>
      </c>
      <c r="D132" s="3" t="s">
        <v>21</v>
      </c>
      <c r="E132" s="4">
        <v>19</v>
      </c>
      <c r="F132" s="4">
        <v>1542</v>
      </c>
      <c r="G132" s="3" t="s">
        <v>19</v>
      </c>
      <c r="H132">
        <v>29298</v>
      </c>
      <c r="I132">
        <v>20329.963230000001</v>
      </c>
      <c r="J132">
        <v>8968.0367690000003</v>
      </c>
      <c r="K132" s="5">
        <f>IF(Table1[[#This Row],[Revenue]]=0, 0, Table1[[#This Row],[Profit]]/Table1[[#This Row],[Revenue]])</f>
        <v>0.30609723424807156</v>
      </c>
    </row>
    <row r="133" spans="1:11" x14ac:dyDescent="0.35">
      <c r="A133" s="1">
        <v>45333</v>
      </c>
      <c r="B133" s="3" t="s">
        <v>10</v>
      </c>
      <c r="C133" s="3" t="s">
        <v>31</v>
      </c>
      <c r="D133" s="3" t="s">
        <v>21</v>
      </c>
      <c r="E133" s="4">
        <v>19</v>
      </c>
      <c r="F133" s="4">
        <v>200</v>
      </c>
      <c r="G133" s="3" t="s">
        <v>19</v>
      </c>
      <c r="H133">
        <v>3800</v>
      </c>
      <c r="I133">
        <v>2856.322369</v>
      </c>
      <c r="J133">
        <v>943.67763070000001</v>
      </c>
      <c r="K133" s="5">
        <f>IF(Table1[[#This Row],[Revenue]]=0, 0, Table1[[#This Row],[Profit]]/Table1[[#This Row],[Revenue]])</f>
        <v>0.24833621860526317</v>
      </c>
    </row>
    <row r="134" spans="1:11" x14ac:dyDescent="0.35">
      <c r="A134" s="1">
        <v>45470</v>
      </c>
      <c r="B134" s="3" t="s">
        <v>27</v>
      </c>
      <c r="C134" s="3" t="s">
        <v>24</v>
      </c>
      <c r="D134" s="3" t="s">
        <v>25</v>
      </c>
      <c r="E134" s="4">
        <v>16</v>
      </c>
      <c r="F134" s="4">
        <v>760</v>
      </c>
      <c r="G134" s="3" t="s">
        <v>19</v>
      </c>
      <c r="H134">
        <v>12160</v>
      </c>
      <c r="I134">
        <v>9667.7170480000004</v>
      </c>
      <c r="J134">
        <v>2492.282952</v>
      </c>
      <c r="K134" s="5">
        <f>IF(Table1[[#This Row],[Revenue]]=0, 0, Table1[[#This Row],[Profit]]/Table1[[#This Row],[Revenue]])</f>
        <v>0.20495747960526317</v>
      </c>
    </row>
    <row r="135" spans="1:11" x14ac:dyDescent="0.35">
      <c r="A135" s="1">
        <v>45354</v>
      </c>
      <c r="B135" s="3" t="s">
        <v>27</v>
      </c>
      <c r="C135" s="3" t="s">
        <v>11</v>
      </c>
      <c r="D135" s="3" t="s">
        <v>30</v>
      </c>
      <c r="E135" s="4">
        <v>19</v>
      </c>
      <c r="F135" s="4">
        <v>1781</v>
      </c>
      <c r="G135" s="3" t="s">
        <v>13</v>
      </c>
      <c r="H135">
        <v>33839</v>
      </c>
      <c r="I135">
        <v>23572.075710000001</v>
      </c>
      <c r="J135">
        <v>10266.924290000001</v>
      </c>
      <c r="K135" s="5">
        <f>IF(Table1[[#This Row],[Revenue]]=0, 0, Table1[[#This Row],[Profit]]/Table1[[#This Row],[Revenue]])</f>
        <v>0.30340507373149328</v>
      </c>
    </row>
    <row r="136" spans="1:11" x14ac:dyDescent="0.35">
      <c r="A136" s="1">
        <v>45643</v>
      </c>
      <c r="B136" s="3" t="s">
        <v>43</v>
      </c>
      <c r="C136" s="3" t="s">
        <v>28</v>
      </c>
      <c r="D136" s="3" t="s">
        <v>12</v>
      </c>
      <c r="E136" s="4">
        <v>9</v>
      </c>
      <c r="F136" s="4">
        <v>1988</v>
      </c>
      <c r="G136" s="3" t="s">
        <v>16</v>
      </c>
      <c r="H136">
        <v>17892</v>
      </c>
      <c r="I136">
        <v>10955.804690000001</v>
      </c>
      <c r="J136">
        <v>6936.1953149999999</v>
      </c>
      <c r="K136" s="5">
        <f>IF(Table1[[#This Row],[Revenue]]=0, 0, Table1[[#This Row],[Profit]]/Table1[[#This Row],[Revenue]])</f>
        <v>0.38767020539906105</v>
      </c>
    </row>
    <row r="137" spans="1:11" x14ac:dyDescent="0.35">
      <c r="A137" s="1">
        <v>45522</v>
      </c>
      <c r="B137" s="3" t="s">
        <v>27</v>
      </c>
      <c r="C137" s="3" t="s">
        <v>22</v>
      </c>
      <c r="D137" s="3" t="s">
        <v>32</v>
      </c>
      <c r="E137" s="4">
        <v>1</v>
      </c>
      <c r="F137" s="4">
        <v>1067</v>
      </c>
      <c r="G137" s="3" t="s">
        <v>13</v>
      </c>
      <c r="H137">
        <v>1067</v>
      </c>
      <c r="I137">
        <v>798.86216879999995</v>
      </c>
      <c r="J137">
        <v>268.13783119999999</v>
      </c>
      <c r="K137" s="5">
        <f>IF(Table1[[#This Row],[Revenue]]=0, 0, Table1[[#This Row],[Profit]]/Table1[[#This Row],[Revenue]])</f>
        <v>0.25130068528584815</v>
      </c>
    </row>
    <row r="138" spans="1:11" x14ac:dyDescent="0.35">
      <c r="A138" s="1">
        <v>45532</v>
      </c>
      <c r="B138" s="3" t="s">
        <v>23</v>
      </c>
      <c r="C138" s="3" t="s">
        <v>24</v>
      </c>
      <c r="D138" s="3" t="s">
        <v>30</v>
      </c>
      <c r="E138" s="4">
        <v>10</v>
      </c>
      <c r="F138" s="4">
        <v>342</v>
      </c>
      <c r="G138" s="3" t="s">
        <v>19</v>
      </c>
      <c r="H138">
        <v>3420</v>
      </c>
      <c r="I138">
        <v>2065.1516099999999</v>
      </c>
      <c r="J138">
        <v>1354.8483900000001</v>
      </c>
      <c r="K138" s="5">
        <f>IF(Table1[[#This Row],[Revenue]]=0, 0, Table1[[#This Row],[Profit]]/Table1[[#This Row],[Revenue]])</f>
        <v>0.39615450000000002</v>
      </c>
    </row>
    <row r="139" spans="1:11" x14ac:dyDescent="0.35">
      <c r="A139" s="1">
        <v>45343</v>
      </c>
      <c r="B139" s="3" t="s">
        <v>27</v>
      </c>
      <c r="C139" s="3" t="s">
        <v>11</v>
      </c>
      <c r="D139" s="3" t="s">
        <v>32</v>
      </c>
      <c r="E139" s="4">
        <v>19</v>
      </c>
      <c r="F139" s="4">
        <v>852</v>
      </c>
      <c r="G139" s="3" t="s">
        <v>13</v>
      </c>
      <c r="H139">
        <v>16188</v>
      </c>
      <c r="I139">
        <v>14329.51541</v>
      </c>
      <c r="J139">
        <v>1858.484588</v>
      </c>
      <c r="K139" s="5">
        <f>IF(Table1[[#This Row],[Revenue]]=0, 0, Table1[[#This Row],[Profit]]/Table1[[#This Row],[Revenue]])</f>
        <v>0.1148063125772177</v>
      </c>
    </row>
    <row r="140" spans="1:11" x14ac:dyDescent="0.35">
      <c r="A140" s="1">
        <v>45387</v>
      </c>
      <c r="B140" s="3" t="s">
        <v>27</v>
      </c>
      <c r="C140" s="3" t="s">
        <v>24</v>
      </c>
      <c r="D140" s="3" t="s">
        <v>44</v>
      </c>
      <c r="E140" s="4">
        <v>1</v>
      </c>
      <c r="F140" s="4">
        <v>611</v>
      </c>
      <c r="G140" s="3" t="s">
        <v>19</v>
      </c>
      <c r="H140">
        <v>611</v>
      </c>
      <c r="I140">
        <v>512.63211230000002</v>
      </c>
      <c r="J140">
        <v>98.367887670000002</v>
      </c>
      <c r="K140" s="5">
        <f>IF(Table1[[#This Row],[Revenue]]=0, 0, Table1[[#This Row],[Profit]]/Table1[[#This Row],[Revenue]])</f>
        <v>0.16099490617021278</v>
      </c>
    </row>
    <row r="141" spans="1:11" x14ac:dyDescent="0.35">
      <c r="A141" s="1">
        <v>45513</v>
      </c>
      <c r="B141" s="3" t="s">
        <v>27</v>
      </c>
      <c r="C141" s="3" t="s">
        <v>31</v>
      </c>
      <c r="D141" s="3" t="s">
        <v>21</v>
      </c>
      <c r="E141" s="4">
        <v>2</v>
      </c>
      <c r="F141" s="4">
        <v>948</v>
      </c>
      <c r="G141" s="3" t="s">
        <v>19</v>
      </c>
      <c r="H141">
        <v>1896</v>
      </c>
      <c r="I141">
        <v>1246.815161</v>
      </c>
      <c r="J141">
        <v>649.18483909999998</v>
      </c>
      <c r="K141" s="5">
        <f>IF(Table1[[#This Row],[Revenue]]=0, 0, Table1[[#This Row],[Profit]]/Table1[[#This Row],[Revenue]])</f>
        <v>0.34239706703586498</v>
      </c>
    </row>
    <row r="142" spans="1:11" x14ac:dyDescent="0.35">
      <c r="A142" s="1">
        <v>45522</v>
      </c>
      <c r="B142" s="3" t="s">
        <v>10</v>
      </c>
      <c r="C142" s="3" t="s">
        <v>28</v>
      </c>
      <c r="D142" s="3" t="s">
        <v>30</v>
      </c>
      <c r="E142" s="4">
        <v>16</v>
      </c>
      <c r="F142" s="4">
        <v>654</v>
      </c>
      <c r="G142" s="3" t="s">
        <v>16</v>
      </c>
      <c r="H142">
        <v>10464</v>
      </c>
      <c r="I142">
        <v>7181.1452339999996</v>
      </c>
      <c r="J142">
        <v>3282.8547659999999</v>
      </c>
      <c r="K142" s="5">
        <f>IF(Table1[[#This Row],[Revenue]]=0, 0, Table1[[#This Row],[Profit]]/Table1[[#This Row],[Revenue]])</f>
        <v>0.31372847534403669</v>
      </c>
    </row>
    <row r="143" spans="1:11" x14ac:dyDescent="0.35">
      <c r="A143" s="1">
        <v>45528</v>
      </c>
      <c r="B143" s="3" t="s">
        <v>10</v>
      </c>
      <c r="C143" s="3" t="s">
        <v>22</v>
      </c>
      <c r="D143" s="3" t="s">
        <v>12</v>
      </c>
      <c r="E143" s="4">
        <v>12</v>
      </c>
      <c r="F143" s="4">
        <v>1218</v>
      </c>
      <c r="G143" s="3" t="s">
        <v>13</v>
      </c>
      <c r="H143">
        <v>14616</v>
      </c>
      <c r="I143">
        <v>13079.15047</v>
      </c>
      <c r="J143">
        <v>1536.8495350000001</v>
      </c>
      <c r="K143" s="5">
        <f>IF(Table1[[#This Row],[Revenue]]=0, 0, Table1[[#This Row],[Profit]]/Table1[[#This Row],[Revenue]])</f>
        <v>0.10514843561850028</v>
      </c>
    </row>
    <row r="144" spans="1:11" x14ac:dyDescent="0.35">
      <c r="A144" s="1">
        <v>45462</v>
      </c>
      <c r="B144" s="3" t="s">
        <v>23</v>
      </c>
      <c r="C144" s="3" t="s">
        <v>26</v>
      </c>
      <c r="D144" s="3" t="s">
        <v>32</v>
      </c>
      <c r="E144" s="4">
        <v>18</v>
      </c>
      <c r="F144" s="4">
        <v>1641</v>
      </c>
      <c r="G144" s="3" t="s">
        <v>19</v>
      </c>
      <c r="H144">
        <v>29538</v>
      </c>
      <c r="I144">
        <v>24667.677299999999</v>
      </c>
      <c r="J144">
        <v>4870.3227020000004</v>
      </c>
      <c r="K144" s="5">
        <f>IF(Table1[[#This Row],[Revenue]]=0, 0, Table1[[#This Row],[Profit]]/Table1[[#This Row],[Revenue]])</f>
        <v>0.16488329277540797</v>
      </c>
    </row>
    <row r="145" spans="1:11" x14ac:dyDescent="0.35">
      <c r="A145" s="1">
        <v>45320</v>
      </c>
      <c r="B145" s="3" t="s">
        <v>10</v>
      </c>
      <c r="C145" s="3" t="s">
        <v>14</v>
      </c>
      <c r="D145" s="3" t="s">
        <v>15</v>
      </c>
      <c r="E145" s="4">
        <v>2</v>
      </c>
      <c r="F145" s="4">
        <v>313</v>
      </c>
      <c r="G145" s="3" t="s">
        <v>16</v>
      </c>
      <c r="H145">
        <v>626</v>
      </c>
      <c r="I145">
        <v>459.51194500000003</v>
      </c>
      <c r="J145">
        <v>166.488055</v>
      </c>
      <c r="K145" s="5">
        <f>IF(Table1[[#This Row],[Revenue]]=0, 0, Table1[[#This Row],[Profit]]/Table1[[#This Row],[Revenue]])</f>
        <v>0.26595535942492016</v>
      </c>
    </row>
    <row r="146" spans="1:11" x14ac:dyDescent="0.35">
      <c r="A146" s="1">
        <v>45327</v>
      </c>
      <c r="B146" s="3" t="s">
        <v>23</v>
      </c>
      <c r="C146" s="3" t="s">
        <v>22</v>
      </c>
      <c r="D146" s="3" t="s">
        <v>15</v>
      </c>
      <c r="E146" s="4">
        <v>13</v>
      </c>
      <c r="F146" s="4">
        <v>817</v>
      </c>
      <c r="G146" s="3" t="s">
        <v>13</v>
      </c>
      <c r="H146">
        <v>10621</v>
      </c>
      <c r="I146">
        <v>9125.8688430000002</v>
      </c>
      <c r="J146">
        <v>1495.131157</v>
      </c>
      <c r="K146" s="5">
        <f>IF(Table1[[#This Row],[Revenue]]=0, 0, Table1[[#This Row],[Profit]]/Table1[[#This Row],[Revenue]])</f>
        <v>0.14077122276621787</v>
      </c>
    </row>
    <row r="147" spans="1:11" x14ac:dyDescent="0.35">
      <c r="A147" s="1">
        <v>45304</v>
      </c>
      <c r="B147" s="3" t="s">
        <v>10</v>
      </c>
      <c r="C147" s="3" t="s">
        <v>26</v>
      </c>
      <c r="D147" s="3" t="s">
        <v>18</v>
      </c>
      <c r="E147" s="4">
        <v>6</v>
      </c>
      <c r="F147" s="4">
        <v>166</v>
      </c>
      <c r="G147" s="3" t="s">
        <v>19</v>
      </c>
      <c r="H147">
        <v>996</v>
      </c>
      <c r="I147">
        <v>807.8815482</v>
      </c>
      <c r="J147">
        <v>188.1184518</v>
      </c>
      <c r="K147" s="5">
        <f>IF(Table1[[#This Row],[Revenue]]=0, 0, Table1[[#This Row],[Profit]]/Table1[[#This Row],[Revenue]])</f>
        <v>0.18887394759036144</v>
      </c>
    </row>
    <row r="148" spans="1:11" x14ac:dyDescent="0.35">
      <c r="A148" s="1">
        <v>45451</v>
      </c>
      <c r="B148" s="3" t="s">
        <v>20</v>
      </c>
      <c r="C148" s="3" t="s">
        <v>24</v>
      </c>
      <c r="D148" s="3" t="s">
        <v>15</v>
      </c>
      <c r="E148" s="4">
        <v>6</v>
      </c>
      <c r="F148" s="4">
        <v>495</v>
      </c>
      <c r="G148" s="3" t="s">
        <v>19</v>
      </c>
      <c r="H148">
        <v>2970</v>
      </c>
      <c r="I148">
        <v>1802.412863</v>
      </c>
      <c r="J148">
        <v>1167.587137</v>
      </c>
      <c r="K148" s="5">
        <f>IF(Table1[[#This Row],[Revenue]]=0, 0, Table1[[#This Row],[Profit]]/Table1[[#This Row],[Revenue]])</f>
        <v>0.39312698215488218</v>
      </c>
    </row>
    <row r="149" spans="1:11" x14ac:dyDescent="0.35">
      <c r="A149" s="1">
        <v>45478</v>
      </c>
      <c r="B149" s="3" t="s">
        <v>27</v>
      </c>
      <c r="C149" s="3" t="s">
        <v>22</v>
      </c>
      <c r="D149" s="3" t="s">
        <v>32</v>
      </c>
      <c r="E149" s="4">
        <v>16</v>
      </c>
      <c r="F149" s="4">
        <v>1135</v>
      </c>
      <c r="G149" s="3" t="s">
        <v>13</v>
      </c>
      <c r="H149">
        <v>18160</v>
      </c>
      <c r="I149">
        <v>13935.942129999999</v>
      </c>
      <c r="J149">
        <v>4224.0578679999999</v>
      </c>
      <c r="K149" s="5">
        <f>IF(Table1[[#This Row],[Revenue]]=0, 0, Table1[[#This Row],[Profit]]/Table1[[#This Row],[Revenue]])</f>
        <v>0.23260230550660793</v>
      </c>
    </row>
    <row r="150" spans="1:11" x14ac:dyDescent="0.35">
      <c r="A150" s="1">
        <v>45534</v>
      </c>
      <c r="B150" s="3" t="s">
        <v>23</v>
      </c>
      <c r="C150" s="3" t="s">
        <v>24</v>
      </c>
      <c r="D150" s="3" t="s">
        <v>18</v>
      </c>
      <c r="E150" s="4">
        <v>11</v>
      </c>
      <c r="F150" s="4">
        <v>1360</v>
      </c>
      <c r="G150" s="3" t="s">
        <v>19</v>
      </c>
      <c r="H150">
        <v>14960</v>
      </c>
      <c r="I150">
        <v>13132.669110000001</v>
      </c>
      <c r="J150">
        <v>1827.33089</v>
      </c>
      <c r="K150" s="5">
        <f>IF(Table1[[#This Row],[Revenue]]=0, 0, Table1[[#This Row],[Profit]]/Table1[[#This Row],[Revenue]])</f>
        <v>0.12214778676470588</v>
      </c>
    </row>
    <row r="151" spans="1:11" x14ac:dyDescent="0.35">
      <c r="A151" s="1">
        <v>45377</v>
      </c>
      <c r="B151" s="3" t="s">
        <v>10</v>
      </c>
      <c r="C151" s="3" t="s">
        <v>26</v>
      </c>
      <c r="D151" s="3" t="s">
        <v>30</v>
      </c>
      <c r="E151" s="4">
        <v>7</v>
      </c>
      <c r="F151" s="4">
        <v>1957</v>
      </c>
      <c r="G151" s="3" t="s">
        <v>19</v>
      </c>
      <c r="H151">
        <v>13699</v>
      </c>
      <c r="I151">
        <v>8638.7122579999996</v>
      </c>
      <c r="J151">
        <v>5060.2877420000004</v>
      </c>
      <c r="K151" s="5">
        <f>IF(Table1[[#This Row],[Revenue]]=0, 0, Table1[[#This Row],[Profit]]/Table1[[#This Row],[Revenue]])</f>
        <v>0.36939103160814662</v>
      </c>
    </row>
    <row r="152" spans="1:11" x14ac:dyDescent="0.35">
      <c r="A152" s="1">
        <v>45575</v>
      </c>
      <c r="B152" s="3" t="s">
        <v>10</v>
      </c>
      <c r="C152" s="3" t="s">
        <v>31</v>
      </c>
      <c r="D152" s="3" t="s">
        <v>32</v>
      </c>
      <c r="E152" s="4">
        <v>10</v>
      </c>
      <c r="F152" s="4">
        <v>869</v>
      </c>
      <c r="G152" s="3" t="s">
        <v>19</v>
      </c>
      <c r="H152">
        <v>8690</v>
      </c>
      <c r="I152">
        <v>6781.2307360000004</v>
      </c>
      <c r="J152">
        <v>1908.769264</v>
      </c>
      <c r="K152" s="5">
        <f>IF(Table1[[#This Row],[Revenue]]=0, 0, Table1[[#This Row],[Profit]]/Table1[[#This Row],[Revenue]])</f>
        <v>0.21965123866513234</v>
      </c>
    </row>
    <row r="153" spans="1:11" x14ac:dyDescent="0.35">
      <c r="A153" s="1">
        <v>45357</v>
      </c>
      <c r="B153" s="3" t="s">
        <v>23</v>
      </c>
      <c r="C153" s="3" t="s">
        <v>31</v>
      </c>
      <c r="D153" s="3" t="s">
        <v>18</v>
      </c>
      <c r="E153" s="4">
        <v>10</v>
      </c>
      <c r="F153" s="4">
        <v>1522</v>
      </c>
      <c r="G153" s="3" t="s">
        <v>19</v>
      </c>
      <c r="H153">
        <v>15220</v>
      </c>
      <c r="I153">
        <v>10511.738960000001</v>
      </c>
      <c r="J153">
        <v>4708.2610439999999</v>
      </c>
      <c r="K153" s="5">
        <f>IF(Table1[[#This Row],[Revenue]]=0, 0, Table1[[#This Row],[Profit]]/Table1[[#This Row],[Revenue]])</f>
        <v>0.3093469805519054</v>
      </c>
    </row>
    <row r="154" spans="1:11" x14ac:dyDescent="0.35">
      <c r="A154" s="1">
        <v>45461</v>
      </c>
      <c r="B154" s="3" t="s">
        <v>10</v>
      </c>
      <c r="C154" s="3" t="s">
        <v>17</v>
      </c>
      <c r="D154" s="3" t="s">
        <v>44</v>
      </c>
      <c r="E154" s="4">
        <v>18</v>
      </c>
      <c r="F154" s="4">
        <v>506</v>
      </c>
      <c r="G154" s="3" t="s">
        <v>19</v>
      </c>
      <c r="H154">
        <v>9108</v>
      </c>
      <c r="I154">
        <v>7894.7992320000003</v>
      </c>
      <c r="J154">
        <v>1213.2007679999999</v>
      </c>
      <c r="K154" s="5">
        <f>IF(Table1[[#This Row],[Revenue]]=0, 0, Table1[[#This Row],[Profit]]/Table1[[#This Row],[Revenue]])</f>
        <v>0.1332016653491436</v>
      </c>
    </row>
    <row r="155" spans="1:11" x14ac:dyDescent="0.35">
      <c r="A155" s="1">
        <v>45336</v>
      </c>
      <c r="B155" s="3" t="s">
        <v>20</v>
      </c>
      <c r="C155" s="3" t="s">
        <v>14</v>
      </c>
      <c r="D155" s="3" t="s">
        <v>12</v>
      </c>
      <c r="E155" s="4">
        <v>9</v>
      </c>
      <c r="F155" s="4">
        <v>1024</v>
      </c>
      <c r="G155" s="3" t="s">
        <v>16</v>
      </c>
      <c r="H155">
        <v>9216</v>
      </c>
      <c r="I155">
        <v>7645.1409370000001</v>
      </c>
      <c r="J155">
        <v>1570.8590630000001</v>
      </c>
      <c r="K155" s="5">
        <f>IF(Table1[[#This Row],[Revenue]]=0, 0, Table1[[#This Row],[Profit]]/Table1[[#This Row],[Revenue]])</f>
        <v>0.17044911707899307</v>
      </c>
    </row>
    <row r="156" spans="1:11" x14ac:dyDescent="0.35">
      <c r="A156" s="1">
        <v>45353</v>
      </c>
      <c r="B156" s="3" t="s">
        <v>27</v>
      </c>
      <c r="C156" s="3" t="s">
        <v>22</v>
      </c>
      <c r="D156" s="3" t="s">
        <v>30</v>
      </c>
      <c r="E156" s="4">
        <v>15</v>
      </c>
      <c r="F156" s="4">
        <v>1972</v>
      </c>
      <c r="G156" s="3" t="s">
        <v>13</v>
      </c>
      <c r="H156">
        <v>29580</v>
      </c>
      <c r="I156">
        <v>21028.741959999999</v>
      </c>
      <c r="J156">
        <v>8551.2580450000005</v>
      </c>
      <c r="K156" s="5">
        <f>IF(Table1[[#This Row],[Revenue]]=0, 0, Table1[[#This Row],[Profit]]/Table1[[#This Row],[Revenue]])</f>
        <v>0.28908918340094658</v>
      </c>
    </row>
    <row r="157" spans="1:11" x14ac:dyDescent="0.35">
      <c r="A157" s="1">
        <v>45425</v>
      </c>
      <c r="B157" s="3" t="s">
        <v>23</v>
      </c>
      <c r="C157" s="3" t="s">
        <v>22</v>
      </c>
      <c r="D157" s="3" t="s">
        <v>12</v>
      </c>
      <c r="E157" s="4">
        <v>4</v>
      </c>
      <c r="F157" s="4">
        <v>1603</v>
      </c>
      <c r="G157" s="3" t="s">
        <v>13</v>
      </c>
      <c r="H157">
        <v>6412</v>
      </c>
      <c r="I157">
        <v>4168.6396459999996</v>
      </c>
      <c r="J157">
        <v>2243.3603539999999</v>
      </c>
      <c r="K157" s="5">
        <f>IF(Table1[[#This Row],[Revenue]]=0, 0, Table1[[#This Row],[Profit]]/Table1[[#This Row],[Revenue]])</f>
        <v>0.3498690508421709</v>
      </c>
    </row>
    <row r="158" spans="1:11" x14ac:dyDescent="0.35">
      <c r="A158" s="1">
        <v>45575</v>
      </c>
      <c r="B158" s="3" t="s">
        <v>23</v>
      </c>
      <c r="C158" s="3" t="s">
        <v>22</v>
      </c>
      <c r="D158" s="3" t="s">
        <v>21</v>
      </c>
      <c r="E158" s="4">
        <v>8</v>
      </c>
      <c r="F158" s="4">
        <v>746</v>
      </c>
      <c r="G158" s="3" t="s">
        <v>13</v>
      </c>
      <c r="H158">
        <v>5968</v>
      </c>
      <c r="I158">
        <v>3601.3859699999998</v>
      </c>
      <c r="J158">
        <v>2366.6140300000002</v>
      </c>
      <c r="K158" s="5">
        <f>IF(Table1[[#This Row],[Revenue]]=0, 0, Table1[[#This Row],[Profit]]/Table1[[#This Row],[Revenue]])</f>
        <v>0.39655060824396787</v>
      </c>
    </row>
    <row r="159" spans="1:11" x14ac:dyDescent="0.35">
      <c r="A159" s="1">
        <v>45319</v>
      </c>
      <c r="B159" s="3" t="s">
        <v>10</v>
      </c>
      <c r="C159" s="3" t="s">
        <v>14</v>
      </c>
      <c r="D159" s="3" t="s">
        <v>32</v>
      </c>
      <c r="E159" s="4">
        <v>9</v>
      </c>
      <c r="F159" s="4">
        <v>321</v>
      </c>
      <c r="G159" s="3" t="s">
        <v>16</v>
      </c>
      <c r="H159">
        <v>2889</v>
      </c>
      <c r="I159">
        <v>2271.737228</v>
      </c>
      <c r="J159">
        <v>617.26277159999995</v>
      </c>
      <c r="K159" s="5">
        <f>IF(Table1[[#This Row],[Revenue]]=0, 0, Table1[[#This Row],[Profit]]/Table1[[#This Row],[Revenue]])</f>
        <v>0.21365966479750778</v>
      </c>
    </row>
    <row r="160" spans="1:11" x14ac:dyDescent="0.35">
      <c r="A160" s="1">
        <v>45399</v>
      </c>
      <c r="B160" s="3" t="s">
        <v>23</v>
      </c>
      <c r="C160" s="3" t="s">
        <v>24</v>
      </c>
      <c r="D160" s="3" t="s">
        <v>30</v>
      </c>
      <c r="E160" s="4">
        <v>13</v>
      </c>
      <c r="F160" s="4">
        <v>1279</v>
      </c>
      <c r="G160" s="3" t="s">
        <v>19</v>
      </c>
      <c r="H160">
        <v>16627</v>
      </c>
      <c r="I160">
        <v>12001.98616</v>
      </c>
      <c r="J160">
        <v>4625.0138349999997</v>
      </c>
      <c r="K160" s="5">
        <f>IF(Table1[[#This Row],[Revenue]]=0, 0, Table1[[#This Row],[Profit]]/Table1[[#This Row],[Revenue]])</f>
        <v>0.27816285770132915</v>
      </c>
    </row>
    <row r="161" spans="1:11" x14ac:dyDescent="0.35">
      <c r="A161" s="1">
        <v>45335</v>
      </c>
      <c r="B161" s="3" t="s">
        <v>20</v>
      </c>
      <c r="C161" s="3" t="s">
        <v>28</v>
      </c>
      <c r="D161" s="3" t="s">
        <v>12</v>
      </c>
      <c r="E161" s="4">
        <v>9</v>
      </c>
      <c r="F161" s="4">
        <v>753</v>
      </c>
      <c r="G161" s="3" t="s">
        <v>16</v>
      </c>
      <c r="H161">
        <v>6777</v>
      </c>
      <c r="I161">
        <v>4706.1314259999999</v>
      </c>
      <c r="J161">
        <v>2070.8685740000001</v>
      </c>
      <c r="K161" s="5">
        <f>IF(Table1[[#This Row],[Revenue]]=0, 0, Table1[[#This Row],[Profit]]/Table1[[#This Row],[Revenue]])</f>
        <v>0.30557305208794455</v>
      </c>
    </row>
    <row r="162" spans="1:11" x14ac:dyDescent="0.35">
      <c r="A162" s="1">
        <v>45631</v>
      </c>
      <c r="B162" s="3" t="s">
        <v>10</v>
      </c>
      <c r="C162" s="3" t="s">
        <v>28</v>
      </c>
      <c r="D162" s="3" t="s">
        <v>15</v>
      </c>
      <c r="E162" s="4">
        <v>4</v>
      </c>
      <c r="F162" s="4">
        <v>527</v>
      </c>
      <c r="G162" s="3" t="s">
        <v>16</v>
      </c>
      <c r="H162">
        <v>2108</v>
      </c>
      <c r="I162">
        <v>1888.031649</v>
      </c>
      <c r="J162">
        <v>219.9683508</v>
      </c>
      <c r="K162" s="5">
        <f>IF(Table1[[#This Row],[Revenue]]=0, 0, Table1[[#This Row],[Profit]]/Table1[[#This Row],[Revenue]])</f>
        <v>0.10434931252371916</v>
      </c>
    </row>
    <row r="163" spans="1:11" x14ac:dyDescent="0.35">
      <c r="A163" s="1">
        <v>45577</v>
      </c>
      <c r="B163" s="3" t="s">
        <v>10</v>
      </c>
      <c r="C163" s="3" t="s">
        <v>17</v>
      </c>
      <c r="D163" s="3" t="s">
        <v>12</v>
      </c>
      <c r="E163" s="4">
        <v>17</v>
      </c>
      <c r="F163" s="4">
        <v>1281</v>
      </c>
      <c r="G163" s="3" t="s">
        <v>19</v>
      </c>
      <c r="H163">
        <v>21777</v>
      </c>
      <c r="I163">
        <v>16111.553190000001</v>
      </c>
      <c r="J163">
        <v>5665.4468139999999</v>
      </c>
      <c r="K163" s="5">
        <f>IF(Table1[[#This Row],[Revenue]]=0, 0, Table1[[#This Row],[Profit]]/Table1[[#This Row],[Revenue]])</f>
        <v>0.26015735932405748</v>
      </c>
    </row>
    <row r="164" spans="1:11" x14ac:dyDescent="0.35">
      <c r="A164" s="1">
        <v>45622</v>
      </c>
      <c r="B164" s="3" t="s">
        <v>10</v>
      </c>
      <c r="C164" s="3" t="s">
        <v>22</v>
      </c>
      <c r="D164" s="3" t="s">
        <v>18</v>
      </c>
      <c r="E164" s="4">
        <v>16</v>
      </c>
      <c r="F164" s="4">
        <v>1076</v>
      </c>
      <c r="G164" s="3" t="s">
        <v>13</v>
      </c>
      <c r="H164">
        <v>17216</v>
      </c>
      <c r="I164">
        <v>14202.369930000001</v>
      </c>
      <c r="J164">
        <v>3013.6300679999999</v>
      </c>
      <c r="K164" s="5">
        <f>IF(Table1[[#This Row],[Revenue]]=0, 0, Table1[[#This Row],[Profit]]/Table1[[#This Row],[Revenue]])</f>
        <v>0.17504821491635689</v>
      </c>
    </row>
    <row r="165" spans="1:11" x14ac:dyDescent="0.35">
      <c r="A165" s="1">
        <v>45419</v>
      </c>
      <c r="B165" s="3" t="s">
        <v>10</v>
      </c>
      <c r="C165" s="3" t="s">
        <v>24</v>
      </c>
      <c r="D165" s="3" t="s">
        <v>32</v>
      </c>
      <c r="E165" s="4">
        <v>15</v>
      </c>
      <c r="F165" s="4">
        <v>1539</v>
      </c>
      <c r="G165" s="3" t="s">
        <v>19</v>
      </c>
      <c r="H165">
        <v>23085</v>
      </c>
      <c r="I165">
        <v>15079.6697</v>
      </c>
      <c r="J165">
        <v>8005.3303040000001</v>
      </c>
      <c r="K165" s="5">
        <f>IF(Table1[[#This Row],[Revenue]]=0, 0, Table1[[#This Row],[Profit]]/Table1[[#This Row],[Revenue]])</f>
        <v>0.34677627481048301</v>
      </c>
    </row>
    <row r="166" spans="1:11" x14ac:dyDescent="0.35">
      <c r="A166" s="1">
        <v>45522</v>
      </c>
      <c r="B166" s="3" t="s">
        <v>10</v>
      </c>
      <c r="C166" s="3" t="s">
        <v>26</v>
      </c>
      <c r="D166" s="3" t="s">
        <v>12</v>
      </c>
      <c r="E166" s="4">
        <v>5</v>
      </c>
      <c r="F166" s="4">
        <v>1449</v>
      </c>
      <c r="G166" s="3" t="s">
        <v>19</v>
      </c>
      <c r="H166">
        <v>7245</v>
      </c>
      <c r="I166">
        <v>5254.5723529999996</v>
      </c>
      <c r="J166">
        <v>1990.427647</v>
      </c>
      <c r="K166" s="5">
        <f>IF(Table1[[#This Row],[Revenue]]=0, 0, Table1[[#This Row],[Profit]]/Table1[[#This Row],[Revenue]])</f>
        <v>0.27473121421670116</v>
      </c>
    </row>
    <row r="167" spans="1:11" x14ac:dyDescent="0.35">
      <c r="A167" s="1">
        <v>45481</v>
      </c>
      <c r="B167" s="3" t="s">
        <v>23</v>
      </c>
      <c r="C167" s="3" t="s">
        <v>24</v>
      </c>
      <c r="D167" s="3" t="s">
        <v>30</v>
      </c>
      <c r="E167" s="4">
        <v>5</v>
      </c>
      <c r="F167" s="4">
        <v>470</v>
      </c>
      <c r="G167" s="3" t="s">
        <v>19</v>
      </c>
      <c r="H167">
        <v>2350</v>
      </c>
      <c r="I167">
        <v>1879.293709</v>
      </c>
      <c r="J167">
        <v>470.7062914</v>
      </c>
      <c r="K167" s="5">
        <f>IF(Table1[[#This Row],[Revenue]]=0, 0, Table1[[#This Row],[Profit]]/Table1[[#This Row],[Revenue]])</f>
        <v>0.2003005495319149</v>
      </c>
    </row>
    <row r="168" spans="1:11" x14ac:dyDescent="0.35">
      <c r="A168" s="1">
        <v>45516</v>
      </c>
      <c r="B168" s="3" t="s">
        <v>20</v>
      </c>
      <c r="C168" s="3" t="s">
        <v>14</v>
      </c>
      <c r="D168" s="3" t="s">
        <v>30</v>
      </c>
      <c r="E168" s="4">
        <v>15</v>
      </c>
      <c r="F168" s="4">
        <v>1467</v>
      </c>
      <c r="G168" s="3" t="s">
        <v>16</v>
      </c>
      <c r="H168">
        <v>22005</v>
      </c>
      <c r="I168">
        <v>16547.311290000001</v>
      </c>
      <c r="J168">
        <v>5457.6887070000002</v>
      </c>
      <c r="K168" s="5">
        <f>IF(Table1[[#This Row],[Revenue]]=0, 0, Table1[[#This Row],[Profit]]/Table1[[#This Row],[Revenue]])</f>
        <v>0.24802039113837765</v>
      </c>
    </row>
    <row r="169" spans="1:11" x14ac:dyDescent="0.35">
      <c r="A169" s="1">
        <v>45574</v>
      </c>
      <c r="B169" s="3" t="s">
        <v>27</v>
      </c>
      <c r="C169" s="3" t="s">
        <v>28</v>
      </c>
      <c r="D169" s="3" t="s">
        <v>25</v>
      </c>
      <c r="E169" s="4">
        <v>18</v>
      </c>
      <c r="F169" s="4">
        <v>1385</v>
      </c>
      <c r="G169" s="3" t="s">
        <v>16</v>
      </c>
      <c r="H169">
        <v>24930</v>
      </c>
      <c r="I169">
        <v>21617.797139999999</v>
      </c>
      <c r="J169">
        <v>3312.202859</v>
      </c>
      <c r="K169" s="5">
        <f>IF(Table1[[#This Row],[Revenue]]=0, 0, Table1[[#This Row],[Profit]]/Table1[[#This Row],[Revenue]])</f>
        <v>0.13286012270357</v>
      </c>
    </row>
    <row r="170" spans="1:11" x14ac:dyDescent="0.35">
      <c r="A170" s="1">
        <v>45412</v>
      </c>
      <c r="B170" s="3" t="s">
        <v>27</v>
      </c>
      <c r="C170" s="3" t="s">
        <v>28</v>
      </c>
      <c r="D170" s="3" t="s">
        <v>12</v>
      </c>
      <c r="E170" s="4">
        <v>15</v>
      </c>
      <c r="F170" s="4">
        <v>1406</v>
      </c>
      <c r="G170" s="3" t="s">
        <v>16</v>
      </c>
      <c r="H170">
        <v>21090</v>
      </c>
      <c r="I170">
        <v>15399.787350000001</v>
      </c>
      <c r="J170">
        <v>5690.2126449999996</v>
      </c>
      <c r="K170" s="5">
        <f>IF(Table1[[#This Row],[Revenue]]=0, 0, Table1[[#This Row],[Profit]]/Table1[[#This Row],[Revenue]])</f>
        <v>0.26980619464201039</v>
      </c>
    </row>
    <row r="171" spans="1:11" x14ac:dyDescent="0.35">
      <c r="A171" s="1">
        <v>45407</v>
      </c>
      <c r="B171" s="3" t="s">
        <v>23</v>
      </c>
      <c r="C171" s="3" t="s">
        <v>31</v>
      </c>
      <c r="D171" s="3" t="s">
        <v>32</v>
      </c>
      <c r="E171" s="4">
        <v>2</v>
      </c>
      <c r="F171" s="4">
        <v>949</v>
      </c>
      <c r="G171" s="3" t="s">
        <v>19</v>
      </c>
      <c r="H171">
        <v>1898</v>
      </c>
      <c r="I171">
        <v>1315.885002</v>
      </c>
      <c r="J171">
        <v>582.11499819999995</v>
      </c>
      <c r="K171" s="5">
        <f>IF(Table1[[#This Row],[Revenue]]=0, 0, Table1[[#This Row],[Profit]]/Table1[[#This Row],[Revenue]])</f>
        <v>0.30669915605900944</v>
      </c>
    </row>
    <row r="172" spans="1:11" x14ac:dyDescent="0.35">
      <c r="A172" s="1">
        <v>45524</v>
      </c>
      <c r="B172" s="3" t="s">
        <v>23</v>
      </c>
      <c r="C172" s="3" t="s">
        <v>31</v>
      </c>
      <c r="D172" s="3" t="s">
        <v>32</v>
      </c>
      <c r="E172" s="4">
        <v>13</v>
      </c>
      <c r="F172" s="4">
        <v>955</v>
      </c>
      <c r="G172" s="3" t="s">
        <v>19</v>
      </c>
      <c r="H172">
        <v>12415</v>
      </c>
      <c r="I172">
        <v>10860.82329</v>
      </c>
      <c r="J172">
        <v>1554.1767050000001</v>
      </c>
      <c r="K172" s="5">
        <f>IF(Table1[[#This Row],[Revenue]]=0, 0, Table1[[#This Row],[Profit]]/Table1[[#This Row],[Revenue]])</f>
        <v>0.12518539710028193</v>
      </c>
    </row>
    <row r="173" spans="1:11" x14ac:dyDescent="0.35">
      <c r="A173" s="1">
        <v>45550</v>
      </c>
      <c r="B173" s="3" t="s">
        <v>20</v>
      </c>
      <c r="C173" s="3" t="s">
        <v>14</v>
      </c>
      <c r="D173" s="3" t="s">
        <v>21</v>
      </c>
      <c r="E173" s="4">
        <v>4</v>
      </c>
      <c r="F173" s="4">
        <v>328</v>
      </c>
      <c r="G173" s="3" t="s">
        <v>16</v>
      </c>
      <c r="H173">
        <v>1312</v>
      </c>
      <c r="I173">
        <v>947.3173769</v>
      </c>
      <c r="J173">
        <v>364.6826231</v>
      </c>
      <c r="K173" s="5">
        <f>IF(Table1[[#This Row],[Revenue]]=0, 0, Table1[[#This Row],[Profit]]/Table1[[#This Row],[Revenue]])</f>
        <v>0.27795931638719512</v>
      </c>
    </row>
    <row r="174" spans="1:11" x14ac:dyDescent="0.35">
      <c r="A174" s="1">
        <v>45650</v>
      </c>
      <c r="B174" s="3" t="s">
        <v>27</v>
      </c>
      <c r="C174" s="3" t="s">
        <v>26</v>
      </c>
      <c r="D174" s="3" t="s">
        <v>25</v>
      </c>
      <c r="E174" s="4">
        <v>10</v>
      </c>
      <c r="F174" s="4">
        <v>379</v>
      </c>
      <c r="G174" s="3" t="s">
        <v>19</v>
      </c>
      <c r="H174">
        <v>3790</v>
      </c>
      <c r="I174">
        <v>2580.5896189999999</v>
      </c>
      <c r="J174">
        <v>1209.4103809999999</v>
      </c>
      <c r="K174" s="5">
        <f>IF(Table1[[#This Row],[Revenue]]=0, 0, Table1[[#This Row],[Profit]]/Table1[[#This Row],[Revenue]])</f>
        <v>0.31910564142480208</v>
      </c>
    </row>
    <row r="175" spans="1:11" x14ac:dyDescent="0.35">
      <c r="A175" s="1">
        <v>45489</v>
      </c>
      <c r="B175" s="3" t="s">
        <v>27</v>
      </c>
      <c r="C175" s="3" t="s">
        <v>31</v>
      </c>
      <c r="D175" s="3" t="s">
        <v>12</v>
      </c>
      <c r="E175" s="4">
        <v>13</v>
      </c>
      <c r="F175" s="4">
        <v>1993</v>
      </c>
      <c r="G175" s="3" t="s">
        <v>19</v>
      </c>
      <c r="H175">
        <v>25909</v>
      </c>
      <c r="I175">
        <v>16304.490250000001</v>
      </c>
      <c r="J175">
        <v>9604.5097480000004</v>
      </c>
      <c r="K175" s="5">
        <f>IF(Table1[[#This Row],[Revenue]]=0, 0, Table1[[#This Row],[Profit]]/Table1[[#This Row],[Revenue]])</f>
        <v>0.3707016769462349</v>
      </c>
    </row>
    <row r="176" spans="1:11" x14ac:dyDescent="0.35">
      <c r="A176" s="1">
        <v>45609</v>
      </c>
      <c r="B176" s="3" t="s">
        <v>27</v>
      </c>
      <c r="C176" s="3" t="s">
        <v>26</v>
      </c>
      <c r="D176" s="3" t="s">
        <v>21</v>
      </c>
      <c r="E176" s="4">
        <v>9</v>
      </c>
      <c r="F176" s="4">
        <v>1803</v>
      </c>
      <c r="G176" s="3" t="s">
        <v>19</v>
      </c>
      <c r="H176">
        <v>16227</v>
      </c>
      <c r="I176">
        <v>13752.827740000001</v>
      </c>
      <c r="J176">
        <v>2474.1722599999998</v>
      </c>
      <c r="K176" s="5">
        <f>IF(Table1[[#This Row],[Revenue]]=0, 0, Table1[[#This Row],[Profit]]/Table1[[#This Row],[Revenue]])</f>
        <v>0.1524725617797498</v>
      </c>
    </row>
    <row r="177" spans="1:11" x14ac:dyDescent="0.35">
      <c r="A177" s="1">
        <v>45456</v>
      </c>
      <c r="B177" s="3" t="s">
        <v>27</v>
      </c>
      <c r="C177" s="3" t="s">
        <v>31</v>
      </c>
      <c r="D177" s="3" t="s">
        <v>25</v>
      </c>
      <c r="E177" s="4">
        <v>8</v>
      </c>
      <c r="F177" s="4">
        <v>1170</v>
      </c>
      <c r="G177" s="3" t="s">
        <v>19</v>
      </c>
      <c r="H177">
        <v>9360</v>
      </c>
      <c r="I177">
        <v>5709.5001759999996</v>
      </c>
      <c r="J177">
        <v>3650.499824</v>
      </c>
      <c r="K177" s="5">
        <f>IF(Table1[[#This Row],[Revenue]]=0, 0, Table1[[#This Row],[Profit]]/Table1[[#This Row],[Revenue]])</f>
        <v>0.39001066495726494</v>
      </c>
    </row>
    <row r="178" spans="1:11" x14ac:dyDescent="0.35">
      <c r="A178" s="1">
        <v>45516</v>
      </c>
      <c r="B178" s="3" t="s">
        <v>10</v>
      </c>
      <c r="C178" s="3" t="s">
        <v>11</v>
      </c>
      <c r="D178" s="3" t="s">
        <v>12</v>
      </c>
      <c r="E178" s="4">
        <v>3</v>
      </c>
      <c r="F178" s="4">
        <v>1074</v>
      </c>
      <c r="G178" s="3" t="s">
        <v>13</v>
      </c>
      <c r="H178">
        <v>3222</v>
      </c>
      <c r="I178">
        <v>2279.8668349999998</v>
      </c>
      <c r="J178">
        <v>942.13316459999999</v>
      </c>
      <c r="K178" s="5">
        <f>IF(Table1[[#This Row],[Revenue]]=0, 0, Table1[[#This Row],[Profit]]/Table1[[#This Row],[Revenue]])</f>
        <v>0.29240632048417131</v>
      </c>
    </row>
    <row r="179" spans="1:11" x14ac:dyDescent="0.35">
      <c r="A179" s="1">
        <v>45598</v>
      </c>
      <c r="B179" s="3" t="s">
        <v>23</v>
      </c>
      <c r="C179" s="3" t="s">
        <v>24</v>
      </c>
      <c r="D179" s="3" t="s">
        <v>12</v>
      </c>
      <c r="E179" s="4">
        <v>16</v>
      </c>
      <c r="F179" s="4">
        <v>1838</v>
      </c>
      <c r="G179" s="3" t="s">
        <v>19</v>
      </c>
      <c r="H179">
        <v>29408</v>
      </c>
      <c r="I179">
        <v>24260.510030000001</v>
      </c>
      <c r="J179">
        <v>5147.4899670000004</v>
      </c>
      <c r="K179" s="5">
        <f>IF(Table1[[#This Row],[Revenue]]=0, 0, Table1[[#This Row],[Profit]]/Table1[[#This Row],[Revenue]])</f>
        <v>0.17503706362214366</v>
      </c>
    </row>
    <row r="180" spans="1:11" x14ac:dyDescent="0.35">
      <c r="A180" s="1">
        <v>45525</v>
      </c>
      <c r="B180" s="3" t="s">
        <v>10</v>
      </c>
      <c r="C180" s="3" t="s">
        <v>31</v>
      </c>
      <c r="D180" s="3" t="s">
        <v>21</v>
      </c>
      <c r="E180" s="4">
        <v>14</v>
      </c>
      <c r="F180" s="4">
        <v>1337</v>
      </c>
      <c r="G180" s="3" t="s">
        <v>19</v>
      </c>
      <c r="H180">
        <v>18718</v>
      </c>
      <c r="I180">
        <v>16545.11263</v>
      </c>
      <c r="J180">
        <v>2172.8873739999999</v>
      </c>
      <c r="K180" s="5">
        <f>IF(Table1[[#This Row],[Revenue]]=0, 0, Table1[[#This Row],[Profit]]/Table1[[#This Row],[Revenue]])</f>
        <v>0.11608544577412117</v>
      </c>
    </row>
    <row r="181" spans="1:11" x14ac:dyDescent="0.35">
      <c r="A181" s="1">
        <v>45463</v>
      </c>
      <c r="B181" s="3" t="s">
        <v>27</v>
      </c>
      <c r="C181" s="3" t="s">
        <v>17</v>
      </c>
      <c r="D181" s="3" t="s">
        <v>15</v>
      </c>
      <c r="E181" s="4">
        <v>9</v>
      </c>
      <c r="F181" s="4">
        <v>857</v>
      </c>
      <c r="G181" s="3" t="s">
        <v>19</v>
      </c>
      <c r="H181">
        <v>7713</v>
      </c>
      <c r="I181">
        <v>5502.033727</v>
      </c>
      <c r="J181">
        <v>2210.966273</v>
      </c>
      <c r="K181" s="5">
        <f>IF(Table1[[#This Row],[Revenue]]=0, 0, Table1[[#This Row],[Profit]]/Table1[[#This Row],[Revenue]])</f>
        <v>0.28665451484506677</v>
      </c>
    </row>
    <row r="182" spans="1:11" x14ac:dyDescent="0.35">
      <c r="A182" s="1">
        <v>45443</v>
      </c>
      <c r="B182" s="3" t="s">
        <v>20</v>
      </c>
      <c r="C182" s="3" t="s">
        <v>22</v>
      </c>
      <c r="D182" s="3" t="s">
        <v>25</v>
      </c>
      <c r="E182" s="4">
        <v>11</v>
      </c>
      <c r="F182" s="4">
        <v>1147</v>
      </c>
      <c r="G182" s="3" t="s">
        <v>13</v>
      </c>
      <c r="H182">
        <v>12617</v>
      </c>
      <c r="I182">
        <v>10871.00944</v>
      </c>
      <c r="J182">
        <v>1745.9905570000001</v>
      </c>
      <c r="K182" s="5">
        <f>IF(Table1[[#This Row],[Revenue]]=0, 0, Table1[[#This Row],[Profit]]/Table1[[#This Row],[Revenue]])</f>
        <v>0.13838397059522867</v>
      </c>
    </row>
    <row r="183" spans="1:11" x14ac:dyDescent="0.35">
      <c r="A183" s="1">
        <v>45606</v>
      </c>
      <c r="B183" s="3" t="s">
        <v>20</v>
      </c>
      <c r="C183" s="3" t="s">
        <v>31</v>
      </c>
      <c r="D183" s="3" t="s">
        <v>12</v>
      </c>
      <c r="E183" s="4">
        <v>3</v>
      </c>
      <c r="F183" s="4">
        <v>420</v>
      </c>
      <c r="G183" s="3" t="s">
        <v>19</v>
      </c>
      <c r="H183">
        <v>1260</v>
      </c>
      <c r="I183">
        <v>904.82631370000001</v>
      </c>
      <c r="J183">
        <v>355.17368629999999</v>
      </c>
      <c r="K183" s="5">
        <f>IF(Table1[[#This Row],[Revenue]]=0, 0, Table1[[#This Row],[Profit]]/Table1[[#This Row],[Revenue]])</f>
        <v>0.281883878015873</v>
      </c>
    </row>
    <row r="184" spans="1:11" x14ac:dyDescent="0.35">
      <c r="A184" s="1">
        <v>45451</v>
      </c>
      <c r="B184" s="3" t="s">
        <v>27</v>
      </c>
      <c r="C184" s="3" t="s">
        <v>28</v>
      </c>
      <c r="D184" s="3" t="s">
        <v>12</v>
      </c>
      <c r="E184" s="4">
        <v>5</v>
      </c>
      <c r="F184" s="4">
        <v>373</v>
      </c>
      <c r="G184" s="3" t="s">
        <v>16</v>
      </c>
      <c r="H184">
        <v>1865</v>
      </c>
      <c r="I184">
        <v>1219.427244</v>
      </c>
      <c r="J184">
        <v>645.57275609999999</v>
      </c>
      <c r="K184" s="5">
        <f>IF(Table1[[#This Row],[Revenue]]=0, 0, Table1[[#This Row],[Profit]]/Table1[[#This Row],[Revenue]])</f>
        <v>0.34615161184986593</v>
      </c>
    </row>
    <row r="185" spans="1:11" x14ac:dyDescent="0.35">
      <c r="A185" s="1">
        <v>45387</v>
      </c>
      <c r="B185" s="3" t="s">
        <v>27</v>
      </c>
      <c r="C185" s="3" t="s">
        <v>28</v>
      </c>
      <c r="D185" s="3" t="s">
        <v>44</v>
      </c>
      <c r="E185" s="4">
        <v>10</v>
      </c>
      <c r="F185" s="4">
        <v>655</v>
      </c>
      <c r="G185" s="3" t="s">
        <v>16</v>
      </c>
      <c r="H185">
        <v>6550</v>
      </c>
      <c r="I185">
        <v>3936.7716730000002</v>
      </c>
      <c r="J185">
        <v>2613.2283269999998</v>
      </c>
      <c r="K185" s="5">
        <f>IF(Table1[[#This Row],[Revenue]]=0, 0, Table1[[#This Row],[Profit]]/Table1[[#This Row],[Revenue]])</f>
        <v>0.39896615679389308</v>
      </c>
    </row>
    <row r="186" spans="1:11" x14ac:dyDescent="0.35">
      <c r="A186" s="1">
        <v>45524</v>
      </c>
      <c r="B186" s="3" t="s">
        <v>20</v>
      </c>
      <c r="C186" s="3" t="s">
        <v>28</v>
      </c>
      <c r="D186" s="3" t="s">
        <v>29</v>
      </c>
      <c r="E186" s="4">
        <v>13</v>
      </c>
      <c r="F186" s="4">
        <v>943</v>
      </c>
      <c r="G186" s="3" t="s">
        <v>16</v>
      </c>
      <c r="H186">
        <v>12259</v>
      </c>
      <c r="I186">
        <v>8569.7067490000009</v>
      </c>
      <c r="J186">
        <v>3689.2932510000001</v>
      </c>
      <c r="K186" s="5">
        <f>IF(Table1[[#This Row],[Revenue]]=0, 0, Table1[[#This Row],[Profit]]/Table1[[#This Row],[Revenue]])</f>
        <v>0.30094569304184682</v>
      </c>
    </row>
    <row r="187" spans="1:11" x14ac:dyDescent="0.35">
      <c r="A187" s="1">
        <v>45471</v>
      </c>
      <c r="B187" s="3" t="s">
        <v>10</v>
      </c>
      <c r="C187" s="3" t="s">
        <v>22</v>
      </c>
      <c r="D187" s="3" t="s">
        <v>21</v>
      </c>
      <c r="E187" s="4">
        <v>4</v>
      </c>
      <c r="F187" s="4">
        <v>1436</v>
      </c>
      <c r="G187" s="3" t="s">
        <v>13</v>
      </c>
      <c r="H187">
        <v>5744</v>
      </c>
      <c r="I187">
        <v>4098.5882069999998</v>
      </c>
      <c r="J187">
        <v>1645.411793</v>
      </c>
      <c r="K187" s="5">
        <f>IF(Table1[[#This Row],[Revenue]]=0, 0, Table1[[#This Row],[Profit]]/Table1[[#This Row],[Revenue]])</f>
        <v>0.28645748485376044</v>
      </c>
    </row>
    <row r="188" spans="1:11" x14ac:dyDescent="0.35">
      <c r="A188" s="1">
        <v>45404</v>
      </c>
      <c r="B188" s="3" t="s">
        <v>10</v>
      </c>
      <c r="C188" s="3" t="s">
        <v>28</v>
      </c>
      <c r="D188" s="3" t="s">
        <v>21</v>
      </c>
      <c r="E188" s="4">
        <v>13</v>
      </c>
      <c r="F188" s="4">
        <v>1486</v>
      </c>
      <c r="G188" s="3" t="s">
        <v>16</v>
      </c>
      <c r="H188">
        <v>19318</v>
      </c>
      <c r="I188">
        <v>17068.134129999999</v>
      </c>
      <c r="J188">
        <v>2249.8658730000002</v>
      </c>
      <c r="K188" s="5">
        <f>IF(Table1[[#This Row],[Revenue]]=0, 0, Table1[[#This Row],[Profit]]/Table1[[#This Row],[Revenue]])</f>
        <v>0.11646474132933017</v>
      </c>
    </row>
    <row r="189" spans="1:11" x14ac:dyDescent="0.35">
      <c r="A189" s="1">
        <v>45609</v>
      </c>
      <c r="B189" s="3" t="s">
        <v>27</v>
      </c>
      <c r="C189" s="3" t="s">
        <v>11</v>
      </c>
      <c r="D189" s="3" t="s">
        <v>30</v>
      </c>
      <c r="E189" s="4">
        <v>12</v>
      </c>
      <c r="F189" s="4">
        <v>767</v>
      </c>
      <c r="G189" s="3" t="s">
        <v>13</v>
      </c>
      <c r="H189">
        <v>9204</v>
      </c>
      <c r="I189">
        <v>6091.4011810000002</v>
      </c>
      <c r="J189">
        <v>3112.5988189999998</v>
      </c>
      <c r="K189" s="5">
        <f>IF(Table1[[#This Row],[Revenue]]=0, 0, Table1[[#This Row],[Profit]]/Table1[[#This Row],[Revenue]])</f>
        <v>0.33817892427205559</v>
      </c>
    </row>
    <row r="190" spans="1:11" x14ac:dyDescent="0.35">
      <c r="A190" s="1">
        <v>45343</v>
      </c>
      <c r="B190" s="3" t="s">
        <v>10</v>
      </c>
      <c r="C190" s="3" t="s">
        <v>31</v>
      </c>
      <c r="D190" s="3" t="s">
        <v>44</v>
      </c>
      <c r="E190" s="4">
        <v>5</v>
      </c>
      <c r="F190" s="4">
        <v>1099</v>
      </c>
      <c r="G190" s="3" t="s">
        <v>19</v>
      </c>
      <c r="H190">
        <v>5495</v>
      </c>
      <c r="I190">
        <v>3927.1073219999998</v>
      </c>
      <c r="J190">
        <v>1567.8926779999999</v>
      </c>
      <c r="K190" s="5">
        <f>IF(Table1[[#This Row],[Revenue]]=0, 0, Table1[[#This Row],[Profit]]/Table1[[#This Row],[Revenue]])</f>
        <v>0.28533078762511371</v>
      </c>
    </row>
    <row r="191" spans="1:11" x14ac:dyDescent="0.35">
      <c r="A191" s="1">
        <v>45559</v>
      </c>
      <c r="B191" s="3" t="s">
        <v>20</v>
      </c>
      <c r="C191" s="3" t="s">
        <v>14</v>
      </c>
      <c r="D191" s="3" t="s">
        <v>18</v>
      </c>
      <c r="E191" s="4">
        <v>10</v>
      </c>
      <c r="F191" s="4">
        <v>479</v>
      </c>
      <c r="G191" s="3" t="s">
        <v>16</v>
      </c>
      <c r="H191">
        <v>4790</v>
      </c>
      <c r="I191">
        <v>2910.1464850000002</v>
      </c>
      <c r="J191">
        <v>1879.853515</v>
      </c>
      <c r="K191" s="5">
        <f>IF(Table1[[#This Row],[Revenue]]=0, 0, Table1[[#This Row],[Profit]]/Table1[[#This Row],[Revenue]])</f>
        <v>0.39245376096033402</v>
      </c>
    </row>
    <row r="192" spans="1:11" x14ac:dyDescent="0.35">
      <c r="A192" s="1">
        <v>45404</v>
      </c>
      <c r="B192" s="3" t="s">
        <v>27</v>
      </c>
      <c r="C192" s="3" t="s">
        <v>26</v>
      </c>
      <c r="D192" s="3" t="s">
        <v>25</v>
      </c>
      <c r="E192" s="4">
        <v>7</v>
      </c>
      <c r="F192" s="4">
        <v>1797</v>
      </c>
      <c r="G192" s="3" t="s">
        <v>19</v>
      </c>
      <c r="H192">
        <v>12579</v>
      </c>
      <c r="I192">
        <v>11000.868479999999</v>
      </c>
      <c r="J192">
        <v>1578.131517</v>
      </c>
      <c r="K192" s="5">
        <f>IF(Table1[[#This Row],[Revenue]]=0, 0, Table1[[#This Row],[Profit]]/Table1[[#This Row],[Revenue]])</f>
        <v>0.12545762914381112</v>
      </c>
    </row>
    <row r="193" spans="1:11" x14ac:dyDescent="0.35">
      <c r="A193" s="1">
        <v>45392</v>
      </c>
      <c r="B193" s="3" t="s">
        <v>20</v>
      </c>
      <c r="C193" s="3" t="s">
        <v>14</v>
      </c>
      <c r="D193" s="3" t="s">
        <v>25</v>
      </c>
      <c r="E193" s="4">
        <v>2</v>
      </c>
      <c r="F193" s="4">
        <v>1593</v>
      </c>
      <c r="G193" s="3" t="s">
        <v>16</v>
      </c>
      <c r="H193">
        <v>3186</v>
      </c>
      <c r="I193">
        <v>2138.9089749999998</v>
      </c>
      <c r="J193">
        <v>1047.0910249999999</v>
      </c>
      <c r="K193" s="5">
        <f>IF(Table1[[#This Row],[Revenue]]=0, 0, Table1[[#This Row],[Profit]]/Table1[[#This Row],[Revenue]])</f>
        <v>0.32865380571249214</v>
      </c>
    </row>
    <row r="194" spans="1:11" x14ac:dyDescent="0.35">
      <c r="A194" s="1">
        <v>45404</v>
      </c>
      <c r="B194" s="3" t="s">
        <v>10</v>
      </c>
      <c r="C194" s="3" t="s">
        <v>22</v>
      </c>
      <c r="D194" s="3" t="s">
        <v>25</v>
      </c>
      <c r="E194" s="4">
        <v>7</v>
      </c>
      <c r="F194" s="4">
        <v>845</v>
      </c>
      <c r="G194" s="3" t="s">
        <v>13</v>
      </c>
      <c r="H194">
        <v>5915</v>
      </c>
      <c r="I194">
        <v>4310.2518239999999</v>
      </c>
      <c r="J194">
        <v>1604.7481760000001</v>
      </c>
      <c r="K194" s="5">
        <f>IF(Table1[[#This Row],[Revenue]]=0, 0, Table1[[#This Row],[Profit]]/Table1[[#This Row],[Revenue]])</f>
        <v>0.2713014667793745</v>
      </c>
    </row>
    <row r="195" spans="1:11" x14ac:dyDescent="0.35">
      <c r="A195" s="1">
        <v>45372</v>
      </c>
      <c r="B195" s="3" t="s">
        <v>43</v>
      </c>
      <c r="C195" s="3" t="s">
        <v>11</v>
      </c>
      <c r="D195" s="3" t="s">
        <v>29</v>
      </c>
      <c r="E195" s="4">
        <v>8</v>
      </c>
      <c r="F195" s="4">
        <v>774</v>
      </c>
      <c r="G195" s="3" t="s">
        <v>13</v>
      </c>
      <c r="H195">
        <v>6192</v>
      </c>
      <c r="I195">
        <v>3942.0364049999998</v>
      </c>
      <c r="J195">
        <v>2249.9635950000002</v>
      </c>
      <c r="K195" s="5">
        <f>IF(Table1[[#This Row],[Revenue]]=0, 0, Table1[[#This Row],[Profit]]/Table1[[#This Row],[Revenue]])</f>
        <v>0.3633662136627907</v>
      </c>
    </row>
    <row r="196" spans="1:11" x14ac:dyDescent="0.35">
      <c r="A196" s="1">
        <v>45478</v>
      </c>
      <c r="B196" s="3" t="s">
        <v>20</v>
      </c>
      <c r="C196" s="3" t="s">
        <v>26</v>
      </c>
      <c r="D196" s="3" t="s">
        <v>12</v>
      </c>
      <c r="E196" s="4">
        <v>7</v>
      </c>
      <c r="F196" s="4">
        <v>215</v>
      </c>
      <c r="G196" s="3" t="s">
        <v>19</v>
      </c>
      <c r="H196">
        <v>1505</v>
      </c>
      <c r="I196">
        <v>1109.261197</v>
      </c>
      <c r="J196">
        <v>395.73880320000001</v>
      </c>
      <c r="K196" s="5">
        <f>IF(Table1[[#This Row],[Revenue]]=0, 0, Table1[[#This Row],[Profit]]/Table1[[#This Row],[Revenue]])</f>
        <v>0.26294937089700998</v>
      </c>
    </row>
    <row r="197" spans="1:11" x14ac:dyDescent="0.35">
      <c r="A197" s="1">
        <v>45404</v>
      </c>
      <c r="B197" s="3" t="s">
        <v>20</v>
      </c>
      <c r="C197" s="3" t="s">
        <v>26</v>
      </c>
      <c r="D197" s="3" t="s">
        <v>25</v>
      </c>
      <c r="E197" s="4">
        <v>14</v>
      </c>
      <c r="F197" s="4">
        <v>704</v>
      </c>
      <c r="G197" s="3" t="s">
        <v>19</v>
      </c>
      <c r="H197">
        <v>9856</v>
      </c>
      <c r="I197">
        <v>6307.8669970000001</v>
      </c>
      <c r="J197">
        <v>3548.1330029999999</v>
      </c>
      <c r="K197" s="5">
        <f>IF(Table1[[#This Row],[Revenue]]=0, 0, Table1[[#This Row],[Profit]]/Table1[[#This Row],[Revenue]])</f>
        <v>0.35999726085633116</v>
      </c>
    </row>
    <row r="198" spans="1:11" x14ac:dyDescent="0.35">
      <c r="A198" s="1">
        <v>45421</v>
      </c>
      <c r="B198" s="3" t="s">
        <v>23</v>
      </c>
      <c r="C198" s="3" t="s">
        <v>26</v>
      </c>
      <c r="D198" s="3" t="s">
        <v>15</v>
      </c>
      <c r="E198" s="4">
        <v>5</v>
      </c>
      <c r="F198" s="4">
        <v>1919</v>
      </c>
      <c r="G198" s="3" t="s">
        <v>19</v>
      </c>
      <c r="H198">
        <v>9595</v>
      </c>
      <c r="I198">
        <v>7871.6095429999996</v>
      </c>
      <c r="J198">
        <v>1723.390457</v>
      </c>
      <c r="K198" s="5">
        <f>IF(Table1[[#This Row],[Revenue]]=0, 0, Table1[[#This Row],[Profit]]/Table1[[#This Row],[Revenue]])</f>
        <v>0.17961338791036999</v>
      </c>
    </row>
    <row r="199" spans="1:11" x14ac:dyDescent="0.35">
      <c r="A199" s="1">
        <v>45511</v>
      </c>
      <c r="B199" s="3" t="s">
        <v>20</v>
      </c>
      <c r="C199" s="3" t="s">
        <v>14</v>
      </c>
      <c r="D199" s="3" t="s">
        <v>32</v>
      </c>
      <c r="E199" s="4">
        <v>18</v>
      </c>
      <c r="F199" s="4">
        <v>478</v>
      </c>
      <c r="G199" s="3" t="s">
        <v>16</v>
      </c>
      <c r="H199">
        <v>8604</v>
      </c>
      <c r="I199">
        <v>6590.6883699999998</v>
      </c>
      <c r="J199">
        <v>2013.3116299999999</v>
      </c>
      <c r="K199" s="5">
        <f>IF(Table1[[#This Row],[Revenue]]=0, 0, Table1[[#This Row],[Profit]]/Table1[[#This Row],[Revenue]])</f>
        <v>0.23399716759646674</v>
      </c>
    </row>
    <row r="200" spans="1:11" x14ac:dyDescent="0.35">
      <c r="A200" s="1">
        <v>45345</v>
      </c>
      <c r="B200" s="3" t="s">
        <v>23</v>
      </c>
      <c r="C200" s="3" t="s">
        <v>14</v>
      </c>
      <c r="D200" s="3" t="s">
        <v>32</v>
      </c>
      <c r="E200" s="4">
        <v>12</v>
      </c>
      <c r="F200" s="4">
        <v>1845</v>
      </c>
      <c r="G200" s="3" t="s">
        <v>16</v>
      </c>
      <c r="H200">
        <v>22140</v>
      </c>
      <c r="I200">
        <v>14912.748439999999</v>
      </c>
      <c r="J200">
        <v>7227.2515599999997</v>
      </c>
      <c r="K200" s="5">
        <f>IF(Table1[[#This Row],[Revenue]]=0, 0, Table1[[#This Row],[Profit]]/Table1[[#This Row],[Revenue]])</f>
        <v>0.32643412646793135</v>
      </c>
    </row>
    <row r="201" spans="1:11" x14ac:dyDescent="0.35">
      <c r="A201" s="1">
        <v>45634</v>
      </c>
      <c r="B201" s="3" t="s">
        <v>27</v>
      </c>
      <c r="C201" s="3" t="s">
        <v>31</v>
      </c>
      <c r="D201" s="3" t="s">
        <v>30</v>
      </c>
      <c r="E201" s="4">
        <v>17</v>
      </c>
      <c r="F201" s="4">
        <v>1329</v>
      </c>
      <c r="G201" s="3" t="s">
        <v>19</v>
      </c>
      <c r="H201">
        <v>22593</v>
      </c>
      <c r="I201">
        <v>15953.793809999999</v>
      </c>
      <c r="J201">
        <v>6639.2061899999999</v>
      </c>
      <c r="K201" s="5">
        <f>IF(Table1[[#This Row],[Revenue]]=0, 0, Table1[[#This Row],[Profit]]/Table1[[#This Row],[Revenue]])</f>
        <v>0.29386120435533131</v>
      </c>
    </row>
    <row r="202" spans="1:11" x14ac:dyDescent="0.35">
      <c r="A202" s="1">
        <v>45515</v>
      </c>
      <c r="B202" s="3" t="s">
        <v>43</v>
      </c>
      <c r="C202" s="3" t="s">
        <v>28</v>
      </c>
      <c r="D202" s="3" t="s">
        <v>30</v>
      </c>
      <c r="E202" s="4">
        <v>13</v>
      </c>
      <c r="F202" s="4">
        <v>565</v>
      </c>
      <c r="G202" s="3" t="s">
        <v>16</v>
      </c>
      <c r="H202">
        <v>7345</v>
      </c>
      <c r="I202">
        <v>5814.0950279999997</v>
      </c>
      <c r="J202">
        <v>1530.904972</v>
      </c>
      <c r="K202" s="5">
        <f>IF(Table1[[#This Row],[Revenue]]=0, 0, Table1[[#This Row],[Profit]]/Table1[[#This Row],[Revenue]])</f>
        <v>0.20842817862491492</v>
      </c>
    </row>
    <row r="203" spans="1:11" x14ac:dyDescent="0.35">
      <c r="A203" s="1">
        <v>45516</v>
      </c>
      <c r="B203" s="3" t="s">
        <v>27</v>
      </c>
      <c r="C203" s="3" t="s">
        <v>24</v>
      </c>
      <c r="D203" s="3" t="s">
        <v>25</v>
      </c>
      <c r="E203" s="4">
        <v>2</v>
      </c>
      <c r="F203" s="4">
        <v>1855</v>
      </c>
      <c r="G203" s="3" t="s">
        <v>19</v>
      </c>
      <c r="H203">
        <v>3710</v>
      </c>
      <c r="I203">
        <v>2882.3977799999998</v>
      </c>
      <c r="J203">
        <v>827.60221999999999</v>
      </c>
      <c r="K203" s="5">
        <f>IF(Table1[[#This Row],[Revenue]]=0, 0, Table1[[#This Row],[Profit]]/Table1[[#This Row],[Revenue]])</f>
        <v>0.22307337466307278</v>
      </c>
    </row>
    <row r="204" spans="1:11" x14ac:dyDescent="0.35">
      <c r="A204" s="1">
        <v>45417</v>
      </c>
      <c r="B204" s="3" t="s">
        <v>20</v>
      </c>
      <c r="C204" s="3" t="s">
        <v>31</v>
      </c>
      <c r="D204" s="3" t="s">
        <v>15</v>
      </c>
      <c r="E204" s="4">
        <v>13</v>
      </c>
      <c r="F204" s="4">
        <v>379</v>
      </c>
      <c r="G204" s="3" t="s">
        <v>19</v>
      </c>
      <c r="H204">
        <v>4927</v>
      </c>
      <c r="I204">
        <v>3158.366814</v>
      </c>
      <c r="J204">
        <v>1768.633186</v>
      </c>
      <c r="K204" s="5">
        <f>IF(Table1[[#This Row],[Revenue]]=0, 0, Table1[[#This Row],[Profit]]/Table1[[#This Row],[Revenue]])</f>
        <v>0.35896756362898313</v>
      </c>
    </row>
    <row r="205" spans="1:11" x14ac:dyDescent="0.35">
      <c r="A205" s="1">
        <v>45421</v>
      </c>
      <c r="B205" s="3" t="s">
        <v>23</v>
      </c>
      <c r="C205" s="3" t="s">
        <v>31</v>
      </c>
      <c r="D205" s="3" t="s">
        <v>25</v>
      </c>
      <c r="E205" s="4">
        <v>7</v>
      </c>
      <c r="F205" s="4">
        <v>1771</v>
      </c>
      <c r="G205" s="3" t="s">
        <v>19</v>
      </c>
      <c r="H205">
        <v>12397</v>
      </c>
      <c r="I205">
        <v>10580.651589999999</v>
      </c>
      <c r="J205">
        <v>1816.3484129999999</v>
      </c>
      <c r="K205" s="5">
        <f>IF(Table1[[#This Row],[Revenue]]=0, 0, Table1[[#This Row],[Profit]]/Table1[[#This Row],[Revenue]])</f>
        <v>0.14651515794143743</v>
      </c>
    </row>
    <row r="206" spans="1:11" x14ac:dyDescent="0.35">
      <c r="A206" s="1">
        <v>45344</v>
      </c>
      <c r="B206" s="3" t="s">
        <v>23</v>
      </c>
      <c r="C206" s="3" t="s">
        <v>11</v>
      </c>
      <c r="D206" s="3" t="s">
        <v>30</v>
      </c>
      <c r="E206" s="4">
        <v>10</v>
      </c>
      <c r="F206" s="4">
        <v>717</v>
      </c>
      <c r="G206" s="3" t="s">
        <v>13</v>
      </c>
      <c r="H206">
        <v>7170</v>
      </c>
      <c r="I206">
        <v>5324.1313499999997</v>
      </c>
      <c r="J206">
        <v>1845.8686499999999</v>
      </c>
      <c r="K206" s="5">
        <f>IF(Table1[[#This Row],[Revenue]]=0, 0, Table1[[#This Row],[Profit]]/Table1[[#This Row],[Revenue]])</f>
        <v>0.25744332635983264</v>
      </c>
    </row>
    <row r="207" spans="1:11" x14ac:dyDescent="0.35">
      <c r="A207" s="1">
        <v>45463</v>
      </c>
      <c r="B207" s="3" t="s">
        <v>10</v>
      </c>
      <c r="C207" s="3" t="s">
        <v>11</v>
      </c>
      <c r="D207" s="3" t="s">
        <v>29</v>
      </c>
      <c r="E207" s="4">
        <v>6</v>
      </c>
      <c r="F207" s="4">
        <v>217</v>
      </c>
      <c r="G207" s="3" t="s">
        <v>13</v>
      </c>
      <c r="H207">
        <v>1302</v>
      </c>
      <c r="I207">
        <v>844.62141910000003</v>
      </c>
      <c r="J207">
        <v>457.37858089999997</v>
      </c>
      <c r="K207" s="5">
        <f>IF(Table1[[#This Row],[Revenue]]=0, 0, Table1[[#This Row],[Profit]]/Table1[[#This Row],[Revenue]])</f>
        <v>0.35128923264208906</v>
      </c>
    </row>
    <row r="208" spans="1:11" x14ac:dyDescent="0.35">
      <c r="A208" s="1">
        <v>45509</v>
      </c>
      <c r="B208" s="3" t="s">
        <v>10</v>
      </c>
      <c r="C208" s="3" t="s">
        <v>28</v>
      </c>
      <c r="D208" s="3" t="s">
        <v>29</v>
      </c>
      <c r="E208" s="4">
        <v>3</v>
      </c>
      <c r="F208" s="4">
        <v>1360</v>
      </c>
      <c r="G208" s="3" t="s">
        <v>16</v>
      </c>
      <c r="H208">
        <v>4080</v>
      </c>
      <c r="I208">
        <v>2598.339688</v>
      </c>
      <c r="J208">
        <v>1481.660312</v>
      </c>
      <c r="K208" s="5">
        <f>IF(Table1[[#This Row],[Revenue]]=0, 0, Table1[[#This Row],[Profit]]/Table1[[#This Row],[Revenue]])</f>
        <v>0.36315203725490197</v>
      </c>
    </row>
    <row r="209" spans="1:11" x14ac:dyDescent="0.35">
      <c r="A209" s="1">
        <v>45451</v>
      </c>
      <c r="B209" s="3" t="s">
        <v>23</v>
      </c>
      <c r="C209" s="3" t="s">
        <v>24</v>
      </c>
      <c r="D209" s="3" t="s">
        <v>12</v>
      </c>
      <c r="E209" s="4">
        <v>3</v>
      </c>
      <c r="F209" s="4">
        <v>408</v>
      </c>
      <c r="G209" s="3" t="s">
        <v>19</v>
      </c>
      <c r="H209">
        <v>1224</v>
      </c>
      <c r="I209">
        <v>1088.9506120000001</v>
      </c>
      <c r="J209">
        <v>135.0493884</v>
      </c>
      <c r="K209" s="5">
        <f>IF(Table1[[#This Row],[Revenue]]=0, 0, Table1[[#This Row],[Profit]]/Table1[[#This Row],[Revenue]])</f>
        <v>0.11033446764705883</v>
      </c>
    </row>
    <row r="210" spans="1:11" x14ac:dyDescent="0.35">
      <c r="A210" s="1">
        <v>45489</v>
      </c>
      <c r="B210" s="3" t="s">
        <v>23</v>
      </c>
      <c r="C210" s="3" t="s">
        <v>11</v>
      </c>
      <c r="D210" s="3" t="s">
        <v>18</v>
      </c>
      <c r="E210" s="4">
        <v>18</v>
      </c>
      <c r="F210" s="4">
        <v>1579</v>
      </c>
      <c r="G210" s="3" t="s">
        <v>13</v>
      </c>
      <c r="H210">
        <v>28422</v>
      </c>
      <c r="I210">
        <v>19453.737280000001</v>
      </c>
      <c r="J210">
        <v>8968.2627209999991</v>
      </c>
      <c r="K210" s="5">
        <f>IF(Table1[[#This Row],[Revenue]]=0, 0, Table1[[#This Row],[Profit]]/Table1[[#This Row],[Revenue]])</f>
        <v>0.31553946664555621</v>
      </c>
    </row>
    <row r="211" spans="1:11" x14ac:dyDescent="0.35">
      <c r="A211" s="1">
        <v>45538</v>
      </c>
      <c r="B211" s="3" t="s">
        <v>23</v>
      </c>
      <c r="C211" s="3" t="s">
        <v>28</v>
      </c>
      <c r="D211" s="3" t="s">
        <v>32</v>
      </c>
      <c r="E211" s="4">
        <v>11</v>
      </c>
      <c r="F211" s="4">
        <v>1598</v>
      </c>
      <c r="G211" s="3" t="s">
        <v>16</v>
      </c>
      <c r="H211">
        <v>17578</v>
      </c>
      <c r="I211">
        <v>15338.17743</v>
      </c>
      <c r="J211">
        <v>2239.8225729999999</v>
      </c>
      <c r="K211" s="5">
        <f>IF(Table1[[#This Row],[Revenue]]=0, 0, Table1[[#This Row],[Profit]]/Table1[[#This Row],[Revenue]])</f>
        <v>0.1274219235976789</v>
      </c>
    </row>
    <row r="212" spans="1:11" x14ac:dyDescent="0.35">
      <c r="A212" s="1">
        <v>45615</v>
      </c>
      <c r="B212" s="3" t="s">
        <v>20</v>
      </c>
      <c r="C212" s="3" t="s">
        <v>28</v>
      </c>
      <c r="D212" s="3" t="s">
        <v>44</v>
      </c>
      <c r="E212" s="4">
        <v>5</v>
      </c>
      <c r="F212" s="4">
        <v>199</v>
      </c>
      <c r="G212" s="3" t="s">
        <v>16</v>
      </c>
      <c r="H212">
        <v>995</v>
      </c>
      <c r="I212">
        <v>719.55971169999998</v>
      </c>
      <c r="J212">
        <v>275.44028830000002</v>
      </c>
      <c r="K212" s="5">
        <f>IF(Table1[[#This Row],[Revenue]]=0, 0, Table1[[#This Row],[Profit]]/Table1[[#This Row],[Revenue]])</f>
        <v>0.27682441035175881</v>
      </c>
    </row>
    <row r="213" spans="1:11" x14ac:dyDescent="0.35">
      <c r="A213" s="1">
        <v>45494</v>
      </c>
      <c r="B213" s="3" t="s">
        <v>23</v>
      </c>
      <c r="C213" s="3" t="s">
        <v>14</v>
      </c>
      <c r="D213" s="3" t="s">
        <v>21</v>
      </c>
      <c r="E213" s="4">
        <v>19</v>
      </c>
      <c r="F213" s="4">
        <v>360</v>
      </c>
      <c r="G213" s="3" t="s">
        <v>16</v>
      </c>
      <c r="H213">
        <v>6840</v>
      </c>
      <c r="I213">
        <v>4895.9107750000003</v>
      </c>
      <c r="J213">
        <v>1944.0892249999999</v>
      </c>
      <c r="K213" s="5">
        <f>IF(Table1[[#This Row],[Revenue]]=0, 0, Table1[[#This Row],[Profit]]/Table1[[#This Row],[Revenue]])</f>
        <v>0.28422357090643274</v>
      </c>
    </row>
    <row r="214" spans="1:11" x14ac:dyDescent="0.35">
      <c r="A214" s="1">
        <v>45475</v>
      </c>
      <c r="B214" s="3" t="s">
        <v>10</v>
      </c>
      <c r="C214" s="3" t="s">
        <v>43</v>
      </c>
      <c r="D214" s="3" t="s">
        <v>32</v>
      </c>
      <c r="E214" s="4">
        <v>19</v>
      </c>
      <c r="F214" s="4">
        <v>1092</v>
      </c>
      <c r="G214" s="3" t="s">
        <v>19</v>
      </c>
      <c r="H214">
        <v>20748</v>
      </c>
      <c r="I214">
        <v>16811.66228</v>
      </c>
      <c r="J214">
        <v>3936.3377209999999</v>
      </c>
      <c r="K214" s="5">
        <f>IF(Table1[[#This Row],[Revenue]]=0, 0, Table1[[#This Row],[Profit]]/Table1[[#This Row],[Revenue]])</f>
        <v>0.18972130909003276</v>
      </c>
    </row>
    <row r="215" spans="1:11" x14ac:dyDescent="0.35">
      <c r="A215" s="1">
        <v>45414</v>
      </c>
      <c r="B215" s="3" t="s">
        <v>20</v>
      </c>
      <c r="C215" s="3" t="s">
        <v>14</v>
      </c>
      <c r="D215" s="3" t="s">
        <v>21</v>
      </c>
      <c r="E215" s="4">
        <v>15</v>
      </c>
      <c r="F215" s="4">
        <v>1428</v>
      </c>
      <c r="G215" s="3" t="s">
        <v>16</v>
      </c>
      <c r="H215">
        <v>21420</v>
      </c>
      <c r="I215">
        <v>12915.51001</v>
      </c>
      <c r="J215">
        <v>8504.4899929999992</v>
      </c>
      <c r="K215" s="5">
        <f>IF(Table1[[#This Row],[Revenue]]=0, 0, Table1[[#This Row],[Profit]]/Table1[[#This Row],[Revenue]])</f>
        <v>0.39703501367880484</v>
      </c>
    </row>
    <row r="216" spans="1:11" x14ac:dyDescent="0.35">
      <c r="A216" s="1">
        <v>45546</v>
      </c>
      <c r="B216" s="3" t="s">
        <v>23</v>
      </c>
      <c r="C216" s="3" t="s">
        <v>24</v>
      </c>
      <c r="D216" s="3" t="s">
        <v>18</v>
      </c>
      <c r="E216" s="4">
        <v>16</v>
      </c>
      <c r="F216" s="4">
        <v>1477</v>
      </c>
      <c r="G216" s="3" t="s">
        <v>19</v>
      </c>
      <c r="H216">
        <v>23632</v>
      </c>
      <c r="I216">
        <v>16576.119470000001</v>
      </c>
      <c r="J216">
        <v>7055.8805270000003</v>
      </c>
      <c r="K216" s="5">
        <f>IF(Table1[[#This Row],[Revenue]]=0, 0, Table1[[#This Row],[Profit]]/Table1[[#This Row],[Revenue]])</f>
        <v>0.29857314349187541</v>
      </c>
    </row>
    <row r="217" spans="1:11" x14ac:dyDescent="0.35">
      <c r="A217" s="1">
        <v>45585</v>
      </c>
      <c r="B217" s="3" t="s">
        <v>10</v>
      </c>
      <c r="C217" s="3" t="s">
        <v>11</v>
      </c>
      <c r="D217" s="3" t="s">
        <v>18</v>
      </c>
      <c r="E217" s="4">
        <v>9</v>
      </c>
      <c r="F217" s="4">
        <v>385</v>
      </c>
      <c r="G217" s="3" t="s">
        <v>13</v>
      </c>
      <c r="H217">
        <v>3465</v>
      </c>
      <c r="I217">
        <v>2393.600218</v>
      </c>
      <c r="J217">
        <v>1071.399782</v>
      </c>
      <c r="K217" s="5">
        <f>IF(Table1[[#This Row],[Revenue]]=0, 0, Table1[[#This Row],[Profit]]/Table1[[#This Row],[Revenue]])</f>
        <v>0.30920628629148628</v>
      </c>
    </row>
    <row r="218" spans="1:11" x14ac:dyDescent="0.35">
      <c r="A218" s="1">
        <v>45571</v>
      </c>
      <c r="B218" s="3" t="s">
        <v>20</v>
      </c>
      <c r="C218" s="3" t="s">
        <v>24</v>
      </c>
      <c r="D218" s="3" t="s">
        <v>25</v>
      </c>
      <c r="E218" s="4">
        <v>4</v>
      </c>
      <c r="F218" s="4">
        <v>-10</v>
      </c>
      <c r="G218" s="3" t="s">
        <v>19</v>
      </c>
      <c r="H218">
        <v>-40</v>
      </c>
      <c r="I218">
        <v>-34.417177129999999</v>
      </c>
      <c r="J218">
        <v>-5.5828228690000001</v>
      </c>
      <c r="K218" s="5">
        <f>IF(Table1[[#This Row],[Revenue]]=0, 0, Table1[[#This Row],[Profit]]/Table1[[#This Row],[Revenue]])</f>
        <v>0.13957057172500001</v>
      </c>
    </row>
    <row r="219" spans="1:11" x14ac:dyDescent="0.35">
      <c r="A219" s="1">
        <v>45616</v>
      </c>
      <c r="B219" s="3" t="s">
        <v>23</v>
      </c>
      <c r="C219" s="3" t="s">
        <v>31</v>
      </c>
      <c r="D219" s="3" t="s">
        <v>30</v>
      </c>
      <c r="E219" s="4">
        <v>15</v>
      </c>
      <c r="F219" s="4">
        <v>1226</v>
      </c>
      <c r="G219" s="3" t="s">
        <v>19</v>
      </c>
      <c r="H219">
        <v>18390</v>
      </c>
      <c r="I219">
        <v>13953.174559999999</v>
      </c>
      <c r="J219">
        <v>4436.8254349999997</v>
      </c>
      <c r="K219" s="5">
        <f>IF(Table1[[#This Row],[Revenue]]=0, 0, Table1[[#This Row],[Profit]]/Table1[[#This Row],[Revenue]])</f>
        <v>0.2412629382816748</v>
      </c>
    </row>
    <row r="220" spans="1:11" x14ac:dyDescent="0.35">
      <c r="A220" s="1">
        <v>45389</v>
      </c>
      <c r="B220" s="3" t="s">
        <v>23</v>
      </c>
      <c r="C220" s="3" t="s">
        <v>31</v>
      </c>
      <c r="D220" s="3" t="s">
        <v>18</v>
      </c>
      <c r="E220" s="4">
        <v>12</v>
      </c>
      <c r="F220" s="4">
        <v>162</v>
      </c>
      <c r="G220" s="3" t="s">
        <v>19</v>
      </c>
      <c r="H220">
        <v>1944</v>
      </c>
      <c r="I220">
        <v>1379.0173159999999</v>
      </c>
      <c r="J220">
        <v>564.98268429999996</v>
      </c>
      <c r="K220" s="5">
        <f>IF(Table1[[#This Row],[Revenue]]=0, 0, Table1[[#This Row],[Profit]]/Table1[[#This Row],[Revenue]])</f>
        <v>0.29062895282921808</v>
      </c>
    </row>
    <row r="221" spans="1:11" x14ac:dyDescent="0.35">
      <c r="A221" s="1">
        <v>45489</v>
      </c>
      <c r="B221" s="3" t="s">
        <v>23</v>
      </c>
      <c r="C221" s="3" t="s">
        <v>24</v>
      </c>
      <c r="D221" s="3" t="s">
        <v>18</v>
      </c>
      <c r="E221" s="4">
        <v>3</v>
      </c>
      <c r="F221" s="4">
        <v>786</v>
      </c>
      <c r="G221" s="3" t="s">
        <v>19</v>
      </c>
      <c r="H221">
        <v>2358</v>
      </c>
      <c r="I221">
        <v>1603.024504</v>
      </c>
      <c r="J221">
        <v>754.97549590000006</v>
      </c>
      <c r="K221" s="5">
        <f>IF(Table1[[#This Row],[Revenue]]=0, 0, Table1[[#This Row],[Profit]]/Table1[[#This Row],[Revenue]])</f>
        <v>0.32017620691263787</v>
      </c>
    </row>
    <row r="222" spans="1:11" x14ac:dyDescent="0.35">
      <c r="A222" s="1">
        <v>45531</v>
      </c>
      <c r="B222" s="3" t="s">
        <v>20</v>
      </c>
      <c r="C222" s="3" t="s">
        <v>17</v>
      </c>
      <c r="D222" s="3" t="s">
        <v>21</v>
      </c>
      <c r="E222" s="4">
        <v>14</v>
      </c>
      <c r="F222" s="4">
        <v>1405</v>
      </c>
      <c r="G222" s="3" t="s">
        <v>19</v>
      </c>
      <c r="H222">
        <v>19670</v>
      </c>
      <c r="I222">
        <v>15286.598379999999</v>
      </c>
      <c r="J222">
        <v>4383.4016179999999</v>
      </c>
      <c r="K222" s="5">
        <f>IF(Table1[[#This Row],[Revenue]]=0, 0, Table1[[#This Row],[Profit]]/Table1[[#This Row],[Revenue]])</f>
        <v>0.22284705734621249</v>
      </c>
    </row>
    <row r="223" spans="1:11" x14ac:dyDescent="0.35">
      <c r="A223" s="1">
        <v>45435</v>
      </c>
      <c r="B223" s="3" t="s">
        <v>10</v>
      </c>
      <c r="C223" s="3" t="s">
        <v>17</v>
      </c>
      <c r="D223" s="3" t="s">
        <v>30</v>
      </c>
      <c r="E223" s="4">
        <v>17</v>
      </c>
      <c r="F223" s="4">
        <v>1564</v>
      </c>
      <c r="G223" s="3" t="s">
        <v>19</v>
      </c>
      <c r="H223">
        <v>26588</v>
      </c>
      <c r="I223">
        <v>17162.605640000002</v>
      </c>
      <c r="J223">
        <v>9425.3943619999991</v>
      </c>
      <c r="K223" s="5">
        <f>IF(Table1[[#This Row],[Revenue]]=0, 0, Table1[[#This Row],[Profit]]/Table1[[#This Row],[Revenue]])</f>
        <v>0.35449805784564464</v>
      </c>
    </row>
    <row r="224" spans="1:11" x14ac:dyDescent="0.35">
      <c r="A224" s="1">
        <v>45388</v>
      </c>
      <c r="B224" s="3" t="s">
        <v>10</v>
      </c>
      <c r="C224" s="3" t="s">
        <v>14</v>
      </c>
      <c r="D224" s="3" t="s">
        <v>18</v>
      </c>
      <c r="E224" s="4">
        <v>19</v>
      </c>
      <c r="F224" s="4">
        <v>1416</v>
      </c>
      <c r="G224" s="3" t="s">
        <v>16</v>
      </c>
      <c r="H224">
        <v>26904</v>
      </c>
      <c r="I224">
        <v>18129.567930000001</v>
      </c>
      <c r="J224">
        <v>8774.4320719999996</v>
      </c>
      <c r="K224" s="5">
        <f>IF(Table1[[#This Row],[Revenue]]=0, 0, Table1[[#This Row],[Profit]]/Table1[[#This Row],[Revenue]])</f>
        <v>0.32613856943205471</v>
      </c>
    </row>
    <row r="225" spans="1:11" x14ac:dyDescent="0.35">
      <c r="A225" s="1">
        <v>45492</v>
      </c>
      <c r="B225" s="3" t="s">
        <v>27</v>
      </c>
      <c r="C225" s="3" t="s">
        <v>24</v>
      </c>
      <c r="D225" s="3" t="s">
        <v>32</v>
      </c>
      <c r="E225" s="4">
        <v>6</v>
      </c>
      <c r="F225" s="4">
        <v>837</v>
      </c>
      <c r="G225" s="3" t="s">
        <v>19</v>
      </c>
      <c r="H225">
        <v>5022</v>
      </c>
      <c r="I225">
        <v>3455.5560879999998</v>
      </c>
      <c r="J225">
        <v>1566.443912</v>
      </c>
      <c r="K225" s="5">
        <f>IF(Table1[[#This Row],[Revenue]]=0, 0, Table1[[#This Row],[Profit]]/Table1[[#This Row],[Revenue]])</f>
        <v>0.31191635045798488</v>
      </c>
    </row>
    <row r="226" spans="1:11" x14ac:dyDescent="0.35">
      <c r="A226" s="1">
        <v>45415</v>
      </c>
      <c r="B226" s="3" t="s">
        <v>23</v>
      </c>
      <c r="C226" s="3" t="s">
        <v>11</v>
      </c>
      <c r="D226" s="3" t="s">
        <v>12</v>
      </c>
      <c r="E226" s="4">
        <v>4</v>
      </c>
      <c r="F226" s="4">
        <v>1130</v>
      </c>
      <c r="G226" s="3" t="s">
        <v>13</v>
      </c>
      <c r="H226">
        <v>4520</v>
      </c>
      <c r="I226">
        <v>3536.324533</v>
      </c>
      <c r="J226">
        <v>983.67546700000003</v>
      </c>
      <c r="K226" s="5">
        <f>IF(Table1[[#This Row],[Revenue]]=0, 0, Table1[[#This Row],[Profit]]/Table1[[#This Row],[Revenue]])</f>
        <v>0.21762731570796462</v>
      </c>
    </row>
    <row r="227" spans="1:11" x14ac:dyDescent="0.35">
      <c r="A227" s="1">
        <v>45478</v>
      </c>
      <c r="B227" s="3" t="s">
        <v>27</v>
      </c>
      <c r="C227" s="3" t="s">
        <v>14</v>
      </c>
      <c r="D227" s="3" t="s">
        <v>18</v>
      </c>
      <c r="E227" s="4">
        <v>7</v>
      </c>
      <c r="F227" s="4">
        <v>738</v>
      </c>
      <c r="G227" s="3" t="s">
        <v>16</v>
      </c>
      <c r="H227">
        <v>5166</v>
      </c>
      <c r="I227">
        <v>3678.0705349999998</v>
      </c>
      <c r="J227">
        <v>1487.9294649999999</v>
      </c>
      <c r="K227" s="5">
        <f>IF(Table1[[#This Row],[Revenue]]=0, 0, Table1[[#This Row],[Profit]]/Table1[[#This Row],[Revenue]])</f>
        <v>0.28802351238869528</v>
      </c>
    </row>
    <row r="228" spans="1:11" x14ac:dyDescent="0.35">
      <c r="A228" s="1">
        <v>45617</v>
      </c>
      <c r="B228" s="3" t="s">
        <v>27</v>
      </c>
      <c r="C228" s="3" t="s">
        <v>22</v>
      </c>
      <c r="D228" s="3" t="s">
        <v>12</v>
      </c>
      <c r="E228" s="4">
        <v>19</v>
      </c>
      <c r="F228" s="4">
        <v>1035</v>
      </c>
      <c r="G228" s="3" t="s">
        <v>13</v>
      </c>
      <c r="H228">
        <v>19665</v>
      </c>
      <c r="I228">
        <v>14782.86858</v>
      </c>
      <c r="J228">
        <v>4882.131421</v>
      </c>
      <c r="K228" s="5">
        <f>IF(Table1[[#This Row],[Revenue]]=0, 0, Table1[[#This Row],[Profit]]/Table1[[#This Row],[Revenue]])</f>
        <v>0.24826500996694637</v>
      </c>
    </row>
    <row r="229" spans="1:11" x14ac:dyDescent="0.35">
      <c r="A229" s="1">
        <v>45640</v>
      </c>
      <c r="B229" s="3" t="s">
        <v>10</v>
      </c>
      <c r="C229" s="3" t="s">
        <v>17</v>
      </c>
      <c r="D229" s="3" t="s">
        <v>30</v>
      </c>
      <c r="E229" s="4">
        <v>17</v>
      </c>
      <c r="F229" s="4">
        <v>1215</v>
      </c>
      <c r="G229" s="3" t="s">
        <v>19</v>
      </c>
      <c r="H229">
        <v>20655</v>
      </c>
      <c r="I229">
        <v>16423.440699999999</v>
      </c>
      <c r="J229">
        <v>4231.5592989999996</v>
      </c>
      <c r="K229" s="5">
        <f>IF(Table1[[#This Row],[Revenue]]=0, 0, Table1[[#This Row],[Profit]]/Table1[[#This Row],[Revenue]])</f>
        <v>0.20486852089082544</v>
      </c>
    </row>
    <row r="230" spans="1:11" x14ac:dyDescent="0.35">
      <c r="A230" s="1">
        <v>45550</v>
      </c>
      <c r="B230" s="3" t="s">
        <v>20</v>
      </c>
      <c r="C230" s="3" t="s">
        <v>26</v>
      </c>
      <c r="D230" s="3" t="s">
        <v>25</v>
      </c>
      <c r="E230" s="4">
        <v>16</v>
      </c>
      <c r="F230" s="4">
        <v>1313</v>
      </c>
      <c r="G230" s="3" t="s">
        <v>19</v>
      </c>
      <c r="H230">
        <v>21008</v>
      </c>
      <c r="I230">
        <v>18631.60614</v>
      </c>
      <c r="J230">
        <v>2376.3938629999998</v>
      </c>
      <c r="K230" s="5">
        <f>IF(Table1[[#This Row],[Revenue]]=0, 0, Table1[[#This Row],[Profit]]/Table1[[#This Row],[Revenue]])</f>
        <v>0.11311851975437927</v>
      </c>
    </row>
    <row r="231" spans="1:11" x14ac:dyDescent="0.35">
      <c r="A231" s="1">
        <v>45543</v>
      </c>
      <c r="B231" s="3" t="s">
        <v>10</v>
      </c>
      <c r="C231" s="3" t="s">
        <v>31</v>
      </c>
      <c r="D231" s="3" t="s">
        <v>30</v>
      </c>
      <c r="E231" s="4">
        <v>8</v>
      </c>
      <c r="F231" s="4">
        <v>575</v>
      </c>
      <c r="G231" s="3" t="s">
        <v>19</v>
      </c>
      <c r="H231">
        <v>4600</v>
      </c>
      <c r="I231">
        <v>3319.2543569999998</v>
      </c>
      <c r="J231">
        <v>1280.745643</v>
      </c>
      <c r="K231" s="5">
        <f>IF(Table1[[#This Row],[Revenue]]=0, 0, Table1[[#This Row],[Profit]]/Table1[[#This Row],[Revenue]])</f>
        <v>0.27842296586956522</v>
      </c>
    </row>
    <row r="232" spans="1:11" x14ac:dyDescent="0.35">
      <c r="A232" s="1">
        <v>45637</v>
      </c>
      <c r="B232" s="3" t="s">
        <v>20</v>
      </c>
      <c r="C232" s="3" t="s">
        <v>14</v>
      </c>
      <c r="D232" s="3" t="s">
        <v>21</v>
      </c>
      <c r="E232" s="4">
        <v>19</v>
      </c>
      <c r="F232" s="4">
        <v>1634</v>
      </c>
      <c r="G232" s="3" t="s">
        <v>16</v>
      </c>
      <c r="H232">
        <v>31046</v>
      </c>
      <c r="I232">
        <v>25596.887180000002</v>
      </c>
      <c r="J232">
        <v>5449.1128179999996</v>
      </c>
      <c r="K232" s="5">
        <f>IF(Table1[[#This Row],[Revenue]]=0, 0, Table1[[#This Row],[Profit]]/Table1[[#This Row],[Revenue]])</f>
        <v>0.17551738768279326</v>
      </c>
    </row>
    <row r="233" spans="1:11" x14ac:dyDescent="0.35">
      <c r="A233" s="1">
        <v>45438</v>
      </c>
      <c r="B233" s="3" t="s">
        <v>27</v>
      </c>
      <c r="C233" s="3" t="s">
        <v>24</v>
      </c>
      <c r="D233" s="3" t="s">
        <v>15</v>
      </c>
      <c r="E233" s="4">
        <v>8</v>
      </c>
      <c r="F233" s="4">
        <v>1585</v>
      </c>
      <c r="G233" s="3" t="s">
        <v>19</v>
      </c>
      <c r="H233">
        <v>12680</v>
      </c>
      <c r="I233">
        <v>11220.63666</v>
      </c>
      <c r="J233">
        <v>1459.3633359999999</v>
      </c>
      <c r="K233" s="5">
        <f>IF(Table1[[#This Row],[Revenue]]=0, 0, Table1[[#This Row],[Profit]]/Table1[[#This Row],[Revenue]])</f>
        <v>0.11509174574132491</v>
      </c>
    </row>
    <row r="234" spans="1:11" x14ac:dyDescent="0.35">
      <c r="A234" s="1">
        <v>45439</v>
      </c>
      <c r="B234" s="3" t="s">
        <v>23</v>
      </c>
      <c r="C234" s="3" t="s">
        <v>26</v>
      </c>
      <c r="D234" s="3" t="s">
        <v>32</v>
      </c>
      <c r="E234" s="4">
        <v>18</v>
      </c>
      <c r="F234" s="4">
        <v>152</v>
      </c>
      <c r="G234" s="3" t="s">
        <v>19</v>
      </c>
      <c r="H234">
        <v>2736</v>
      </c>
      <c r="I234">
        <v>2051.491552</v>
      </c>
      <c r="J234">
        <v>684.50844810000001</v>
      </c>
      <c r="K234" s="5">
        <f>IF(Table1[[#This Row],[Revenue]]=0, 0, Table1[[#This Row],[Profit]]/Table1[[#This Row],[Revenue]])</f>
        <v>0.25018583629385965</v>
      </c>
    </row>
    <row r="235" spans="1:11" x14ac:dyDescent="0.35">
      <c r="A235" s="1">
        <v>45643</v>
      </c>
      <c r="B235" s="3" t="s">
        <v>10</v>
      </c>
      <c r="C235" s="3" t="s">
        <v>24</v>
      </c>
      <c r="D235" s="3" t="s">
        <v>29</v>
      </c>
      <c r="E235" s="4">
        <v>16</v>
      </c>
      <c r="F235" s="4">
        <v>853</v>
      </c>
      <c r="G235" s="3" t="s">
        <v>19</v>
      </c>
      <c r="H235">
        <v>13648</v>
      </c>
      <c r="I235">
        <v>9869.5386429999999</v>
      </c>
      <c r="J235">
        <v>3778.4613570000001</v>
      </c>
      <c r="K235" s="5">
        <f>IF(Table1[[#This Row],[Revenue]]=0, 0, Table1[[#This Row],[Profit]]/Table1[[#This Row],[Revenue]])</f>
        <v>0.27685092006154749</v>
      </c>
    </row>
    <row r="236" spans="1:11" x14ac:dyDescent="0.35">
      <c r="A236" s="1">
        <v>45490</v>
      </c>
      <c r="B236" s="3" t="s">
        <v>23</v>
      </c>
      <c r="C236" s="3" t="s">
        <v>28</v>
      </c>
      <c r="D236" s="3" t="s">
        <v>12</v>
      </c>
      <c r="E236" s="4">
        <v>19</v>
      </c>
      <c r="F236" s="4">
        <v>585</v>
      </c>
      <c r="G236" s="3" t="s">
        <v>16</v>
      </c>
      <c r="H236">
        <v>11115</v>
      </c>
      <c r="I236">
        <v>6929.1533520000003</v>
      </c>
      <c r="J236">
        <v>4185.8466479999997</v>
      </c>
      <c r="K236" s="5">
        <f>IF(Table1[[#This Row],[Revenue]]=0, 0, Table1[[#This Row],[Profit]]/Table1[[#This Row],[Revenue]])</f>
        <v>0.3765943902834008</v>
      </c>
    </row>
    <row r="237" spans="1:11" x14ac:dyDescent="0.35">
      <c r="A237" s="1">
        <v>45599</v>
      </c>
      <c r="B237" s="3" t="s">
        <v>20</v>
      </c>
      <c r="C237" s="3" t="s">
        <v>31</v>
      </c>
      <c r="D237" s="3" t="s">
        <v>12</v>
      </c>
      <c r="E237" s="4">
        <v>10</v>
      </c>
      <c r="F237" s="4">
        <v>1767</v>
      </c>
      <c r="G237" s="3" t="s">
        <v>19</v>
      </c>
      <c r="H237">
        <v>17670</v>
      </c>
      <c r="I237">
        <v>15332.455330000001</v>
      </c>
      <c r="J237">
        <v>2337.5446649999999</v>
      </c>
      <c r="K237" s="5">
        <f>IF(Table1[[#This Row],[Revenue]]=0, 0, Table1[[#This Row],[Profit]]/Table1[[#This Row],[Revenue]])</f>
        <v>0.13228888879456704</v>
      </c>
    </row>
    <row r="238" spans="1:11" x14ac:dyDescent="0.35">
      <c r="A238" s="1">
        <v>45419</v>
      </c>
      <c r="B238" s="3" t="s">
        <v>23</v>
      </c>
      <c r="C238" s="3" t="s">
        <v>31</v>
      </c>
      <c r="D238" s="3" t="s">
        <v>12</v>
      </c>
      <c r="E238" s="4">
        <v>17</v>
      </c>
      <c r="F238" s="4">
        <v>1613</v>
      </c>
      <c r="G238" s="3" t="s">
        <v>19</v>
      </c>
      <c r="H238">
        <v>27421</v>
      </c>
      <c r="I238">
        <v>18479.84232</v>
      </c>
      <c r="J238">
        <v>8941.1576760000007</v>
      </c>
      <c r="K238" s="5">
        <f>IF(Table1[[#This Row],[Revenue]]=0, 0, Table1[[#This Row],[Profit]]/Table1[[#This Row],[Revenue]])</f>
        <v>0.32606971576528943</v>
      </c>
    </row>
    <row r="239" spans="1:11" x14ac:dyDescent="0.35">
      <c r="A239" s="1">
        <v>45330</v>
      </c>
      <c r="B239" s="3" t="s">
        <v>20</v>
      </c>
      <c r="C239" s="3" t="s">
        <v>17</v>
      </c>
      <c r="D239" s="3" t="s">
        <v>30</v>
      </c>
      <c r="E239" s="4">
        <v>13</v>
      </c>
      <c r="F239" s="4">
        <v>1487</v>
      </c>
      <c r="G239" s="3" t="s">
        <v>19</v>
      </c>
      <c r="H239">
        <v>19331</v>
      </c>
      <c r="I239">
        <v>11969.51103</v>
      </c>
      <c r="J239">
        <v>7361.488969</v>
      </c>
      <c r="K239" s="5">
        <f>IF(Table1[[#This Row],[Revenue]]=0, 0, Table1[[#This Row],[Profit]]/Table1[[#This Row],[Revenue]])</f>
        <v>0.38081263095546014</v>
      </c>
    </row>
    <row r="240" spans="1:11" x14ac:dyDescent="0.35">
      <c r="A240" s="1">
        <v>45629</v>
      </c>
      <c r="B240" s="3" t="s">
        <v>20</v>
      </c>
      <c r="C240" s="3" t="s">
        <v>14</v>
      </c>
      <c r="D240" s="3" t="s">
        <v>12</v>
      </c>
      <c r="E240" s="4">
        <v>13</v>
      </c>
      <c r="F240" s="4">
        <v>1235</v>
      </c>
      <c r="G240" s="3" t="s">
        <v>16</v>
      </c>
      <c r="H240">
        <v>16055</v>
      </c>
      <c r="I240">
        <v>12220.44059</v>
      </c>
      <c r="J240">
        <v>3834.5594070000002</v>
      </c>
      <c r="K240" s="5">
        <f>IF(Table1[[#This Row],[Revenue]]=0, 0, Table1[[#This Row],[Profit]]/Table1[[#This Row],[Revenue]])</f>
        <v>0.23883895403301153</v>
      </c>
    </row>
    <row r="241" spans="1:11" x14ac:dyDescent="0.35">
      <c r="A241" s="1">
        <v>45651</v>
      </c>
      <c r="B241" s="3" t="s">
        <v>27</v>
      </c>
      <c r="C241" s="3" t="s">
        <v>17</v>
      </c>
      <c r="D241" s="3" t="s">
        <v>25</v>
      </c>
      <c r="E241" s="4">
        <v>7</v>
      </c>
      <c r="F241" s="4">
        <v>508</v>
      </c>
      <c r="G241" s="3" t="s">
        <v>19</v>
      </c>
      <c r="H241">
        <v>3556</v>
      </c>
      <c r="I241">
        <v>3036.0057419999998</v>
      </c>
      <c r="J241">
        <v>519.99425770000005</v>
      </c>
      <c r="K241" s="5">
        <f>IF(Table1[[#This Row],[Revenue]]=0, 0, Table1[[#This Row],[Profit]]/Table1[[#This Row],[Revenue]])</f>
        <v>0.14623010621484817</v>
      </c>
    </row>
    <row r="242" spans="1:11" x14ac:dyDescent="0.35">
      <c r="A242" s="1">
        <v>45420</v>
      </c>
      <c r="B242" s="3" t="s">
        <v>20</v>
      </c>
      <c r="C242" s="3" t="s">
        <v>26</v>
      </c>
      <c r="D242" s="3" t="s">
        <v>12</v>
      </c>
      <c r="E242" s="4">
        <v>10</v>
      </c>
      <c r="F242" s="4">
        <v>1130</v>
      </c>
      <c r="G242" s="3" t="s">
        <v>19</v>
      </c>
      <c r="H242">
        <v>11300</v>
      </c>
      <c r="I242">
        <v>8158.4928389999995</v>
      </c>
      <c r="J242">
        <v>3141.507161</v>
      </c>
      <c r="K242" s="5">
        <f>IF(Table1[[#This Row],[Revenue]]=0, 0, Table1[[#This Row],[Profit]]/Table1[[#This Row],[Revenue]])</f>
        <v>0.27800948327433628</v>
      </c>
    </row>
    <row r="243" spans="1:11" x14ac:dyDescent="0.35">
      <c r="A243" s="1">
        <v>45558</v>
      </c>
      <c r="B243" s="3" t="s">
        <v>27</v>
      </c>
      <c r="C243" s="3" t="s">
        <v>14</v>
      </c>
      <c r="D243" s="3" t="s">
        <v>21</v>
      </c>
      <c r="E243" s="4">
        <v>2</v>
      </c>
      <c r="F243" s="4">
        <v>1865</v>
      </c>
      <c r="G243" s="3" t="s">
        <v>16</v>
      </c>
      <c r="H243">
        <v>3730</v>
      </c>
      <c r="I243">
        <v>3114.2524990000002</v>
      </c>
      <c r="J243">
        <v>615.74750089999998</v>
      </c>
      <c r="K243" s="5">
        <f>IF(Table1[[#This Row],[Revenue]]=0, 0, Table1[[#This Row],[Profit]]/Table1[[#This Row],[Revenue]])</f>
        <v>0.16507975895442359</v>
      </c>
    </row>
    <row r="244" spans="1:11" x14ac:dyDescent="0.35">
      <c r="A244" s="1">
        <v>45442</v>
      </c>
      <c r="B244" s="3" t="s">
        <v>27</v>
      </c>
      <c r="C244" s="3" t="s">
        <v>28</v>
      </c>
      <c r="D244" s="3" t="s">
        <v>32</v>
      </c>
      <c r="E244" s="4">
        <v>4</v>
      </c>
      <c r="F244" s="4">
        <v>767</v>
      </c>
      <c r="G244" s="3" t="s">
        <v>16</v>
      </c>
      <c r="H244">
        <v>3068</v>
      </c>
      <c r="I244">
        <v>2610.6188849999999</v>
      </c>
      <c r="J244">
        <v>457.3811149</v>
      </c>
      <c r="K244" s="5">
        <f>IF(Table1[[#This Row],[Revenue]]=0, 0, Table1[[#This Row],[Profit]]/Table1[[#This Row],[Revenue]])</f>
        <v>0.14908119781616688</v>
      </c>
    </row>
    <row r="245" spans="1:11" x14ac:dyDescent="0.35">
      <c r="A245" s="1">
        <v>45589</v>
      </c>
      <c r="B245" s="3" t="s">
        <v>27</v>
      </c>
      <c r="C245" s="3" t="s">
        <v>24</v>
      </c>
      <c r="D245" s="3" t="s">
        <v>12</v>
      </c>
      <c r="E245" s="4">
        <v>6</v>
      </c>
      <c r="F245" s="4">
        <v>1320</v>
      </c>
      <c r="G245" s="3" t="s">
        <v>19</v>
      </c>
      <c r="H245">
        <v>7920</v>
      </c>
      <c r="I245">
        <v>5831.6628559999999</v>
      </c>
      <c r="J245">
        <v>2088.3371440000001</v>
      </c>
      <c r="K245" s="5">
        <f>IF(Table1[[#This Row],[Revenue]]=0, 0, Table1[[#This Row],[Profit]]/Table1[[#This Row],[Revenue]])</f>
        <v>0.26367893232323231</v>
      </c>
    </row>
    <row r="246" spans="1:11" x14ac:dyDescent="0.35">
      <c r="A246" s="1">
        <v>45390</v>
      </c>
      <c r="B246" s="3" t="s">
        <v>10</v>
      </c>
      <c r="C246" s="3" t="s">
        <v>28</v>
      </c>
      <c r="D246" s="3" t="s">
        <v>12</v>
      </c>
      <c r="E246" s="4">
        <v>18</v>
      </c>
      <c r="F246" s="4">
        <v>934</v>
      </c>
      <c r="G246" s="3" t="s">
        <v>16</v>
      </c>
      <c r="H246">
        <v>16812</v>
      </c>
      <c r="I246">
        <v>13067.740970000001</v>
      </c>
      <c r="J246">
        <v>3744.2590289999998</v>
      </c>
      <c r="K246" s="5">
        <f>IF(Table1[[#This Row],[Revenue]]=0, 0, Table1[[#This Row],[Profit]]/Table1[[#This Row],[Revenue]])</f>
        <v>0.22271348019271947</v>
      </c>
    </row>
    <row r="247" spans="1:11" x14ac:dyDescent="0.35">
      <c r="A247" s="1">
        <v>45554</v>
      </c>
      <c r="B247" s="3" t="s">
        <v>10</v>
      </c>
      <c r="C247" s="3" t="s">
        <v>31</v>
      </c>
      <c r="D247" s="3" t="s">
        <v>15</v>
      </c>
      <c r="E247" s="4">
        <v>6</v>
      </c>
      <c r="F247" s="4">
        <v>975</v>
      </c>
      <c r="G247" s="3" t="s">
        <v>19</v>
      </c>
      <c r="H247">
        <v>5850</v>
      </c>
      <c r="I247">
        <v>4447.0160839999999</v>
      </c>
      <c r="J247">
        <v>1402.9839159999999</v>
      </c>
      <c r="K247" s="5">
        <f>IF(Table1[[#This Row],[Revenue]]=0, 0, Table1[[#This Row],[Profit]]/Table1[[#This Row],[Revenue]])</f>
        <v>0.23982631042735042</v>
      </c>
    </row>
    <row r="248" spans="1:11" x14ac:dyDescent="0.35">
      <c r="A248" s="1">
        <v>45543</v>
      </c>
      <c r="B248" s="3" t="s">
        <v>20</v>
      </c>
      <c r="C248" s="3" t="s">
        <v>26</v>
      </c>
      <c r="D248" s="3" t="s">
        <v>32</v>
      </c>
      <c r="E248" s="4">
        <v>17</v>
      </c>
      <c r="F248" s="4">
        <v>1858</v>
      </c>
      <c r="G248" s="3" t="s">
        <v>19</v>
      </c>
      <c r="H248">
        <v>31586</v>
      </c>
      <c r="I248">
        <v>27851.23215</v>
      </c>
      <c r="J248">
        <v>3734.7678540000002</v>
      </c>
      <c r="K248" s="5">
        <f>IF(Table1[[#This Row],[Revenue]]=0, 0, Table1[[#This Row],[Profit]]/Table1[[#This Row],[Revenue]])</f>
        <v>0.11824124149939848</v>
      </c>
    </row>
    <row r="249" spans="1:11" x14ac:dyDescent="0.35">
      <c r="A249" s="1">
        <v>45637</v>
      </c>
      <c r="B249" s="3" t="s">
        <v>10</v>
      </c>
      <c r="C249" s="3" t="s">
        <v>26</v>
      </c>
      <c r="D249" s="3" t="s">
        <v>30</v>
      </c>
      <c r="E249" s="4">
        <v>11</v>
      </c>
      <c r="F249" s="4">
        <v>1101</v>
      </c>
      <c r="G249" s="3" t="s">
        <v>19</v>
      </c>
      <c r="H249">
        <v>12111</v>
      </c>
      <c r="I249">
        <v>10628.64803</v>
      </c>
      <c r="J249">
        <v>1482.3519659999999</v>
      </c>
      <c r="K249" s="5">
        <f>IF(Table1[[#This Row],[Revenue]]=0, 0, Table1[[#This Row],[Profit]]/Table1[[#This Row],[Revenue]])</f>
        <v>0.12239715679960367</v>
      </c>
    </row>
    <row r="250" spans="1:11" x14ac:dyDescent="0.35">
      <c r="A250" s="1">
        <v>45403</v>
      </c>
      <c r="B250" s="3" t="s">
        <v>27</v>
      </c>
      <c r="C250" s="3" t="s">
        <v>11</v>
      </c>
      <c r="D250" s="3" t="s">
        <v>18</v>
      </c>
      <c r="E250" s="4">
        <v>19</v>
      </c>
      <c r="F250" s="4">
        <v>349</v>
      </c>
      <c r="G250" s="3" t="s">
        <v>13</v>
      </c>
      <c r="H250">
        <v>6631</v>
      </c>
      <c r="I250">
        <v>4416.2658490000003</v>
      </c>
      <c r="J250">
        <v>2214.7341510000001</v>
      </c>
      <c r="K250" s="5">
        <f>IF(Table1[[#This Row],[Revenue]]=0, 0, Table1[[#This Row],[Profit]]/Table1[[#This Row],[Revenue]])</f>
        <v>0.33399700663549992</v>
      </c>
    </row>
    <row r="251" spans="1:11" x14ac:dyDescent="0.35">
      <c r="A251" s="1">
        <v>45351</v>
      </c>
      <c r="B251" s="3" t="s">
        <v>23</v>
      </c>
      <c r="C251" s="3" t="s">
        <v>26</v>
      </c>
      <c r="D251" s="3" t="s">
        <v>25</v>
      </c>
      <c r="E251" s="4">
        <v>2</v>
      </c>
      <c r="F251" s="4">
        <v>1718</v>
      </c>
      <c r="G251" s="3" t="s">
        <v>19</v>
      </c>
      <c r="H251">
        <v>3436</v>
      </c>
      <c r="I251">
        <v>2381.392147</v>
      </c>
      <c r="J251">
        <v>1054.607853</v>
      </c>
      <c r="K251" s="5">
        <f>IF(Table1[[#This Row],[Revenue]]=0, 0, Table1[[#This Row],[Profit]]/Table1[[#This Row],[Revenue]])</f>
        <v>0.30692894441210711</v>
      </c>
    </row>
    <row r="252" spans="1:11" x14ac:dyDescent="0.35">
      <c r="A252" s="1">
        <v>45293</v>
      </c>
      <c r="B252" s="3" t="s">
        <v>23</v>
      </c>
      <c r="C252" s="3" t="s">
        <v>28</v>
      </c>
      <c r="D252" s="3" t="s">
        <v>30</v>
      </c>
      <c r="E252" s="4">
        <v>3</v>
      </c>
      <c r="F252" s="4">
        <v>1363</v>
      </c>
      <c r="G252" s="3" t="s">
        <v>16</v>
      </c>
      <c r="H252">
        <v>4089</v>
      </c>
      <c r="I252">
        <v>2540.3895579999999</v>
      </c>
      <c r="J252">
        <v>1548.6104419999999</v>
      </c>
      <c r="K252" s="5">
        <f>IF(Table1[[#This Row],[Revenue]]=0, 0, Table1[[#This Row],[Profit]]/Table1[[#This Row],[Revenue]])</f>
        <v>0.37872595793592562</v>
      </c>
    </row>
    <row r="253" spans="1:11" x14ac:dyDescent="0.35">
      <c r="A253" s="1">
        <v>45595</v>
      </c>
      <c r="B253" s="3" t="s">
        <v>23</v>
      </c>
      <c r="C253" s="3" t="s">
        <v>11</v>
      </c>
      <c r="D253" s="3" t="s">
        <v>29</v>
      </c>
      <c r="E253" s="4">
        <v>11</v>
      </c>
      <c r="F253" s="4">
        <v>479</v>
      </c>
      <c r="G253" s="3" t="s">
        <v>13</v>
      </c>
      <c r="H253">
        <v>5269</v>
      </c>
      <c r="I253">
        <v>3951.604507</v>
      </c>
      <c r="J253">
        <v>1317.395493</v>
      </c>
      <c r="K253" s="5">
        <f>IF(Table1[[#This Row],[Revenue]]=0, 0, Table1[[#This Row],[Profit]]/Table1[[#This Row],[Revenue]])</f>
        <v>0.25002761301954829</v>
      </c>
    </row>
    <row r="254" spans="1:11" x14ac:dyDescent="0.35">
      <c r="A254" s="1">
        <v>45545</v>
      </c>
      <c r="B254" s="3" t="s">
        <v>43</v>
      </c>
      <c r="C254" s="3" t="s">
        <v>11</v>
      </c>
      <c r="D254" s="3" t="s">
        <v>30</v>
      </c>
      <c r="E254" s="4">
        <v>6</v>
      </c>
      <c r="F254" s="4">
        <v>971</v>
      </c>
      <c r="G254" s="3" t="s">
        <v>13</v>
      </c>
      <c r="H254">
        <v>5826</v>
      </c>
      <c r="I254">
        <v>5023.043807</v>
      </c>
      <c r="J254">
        <v>802.95619320000003</v>
      </c>
      <c r="K254" s="5">
        <f>IF(Table1[[#This Row],[Revenue]]=0, 0, Table1[[#This Row],[Profit]]/Table1[[#This Row],[Revenue]])</f>
        <v>0.13782289618949536</v>
      </c>
    </row>
    <row r="255" spans="1:11" x14ac:dyDescent="0.35">
      <c r="A255" s="1">
        <v>45431</v>
      </c>
      <c r="B255" s="3" t="s">
        <v>27</v>
      </c>
      <c r="C255" s="3" t="s">
        <v>14</v>
      </c>
      <c r="D255" s="3" t="s">
        <v>15</v>
      </c>
      <c r="E255" s="4">
        <v>14</v>
      </c>
      <c r="F255" s="4">
        <v>934</v>
      </c>
      <c r="G255" s="3" t="s">
        <v>16</v>
      </c>
      <c r="H255">
        <v>13076</v>
      </c>
      <c r="I255">
        <v>9127.7542240000002</v>
      </c>
      <c r="J255">
        <v>3948.2457760000002</v>
      </c>
      <c r="K255" s="5">
        <f>IF(Table1[[#This Row],[Revenue]]=0, 0, Table1[[#This Row],[Profit]]/Table1[[#This Row],[Revenue]])</f>
        <v>0.30194599082288165</v>
      </c>
    </row>
    <row r="256" spans="1:11" x14ac:dyDescent="0.35">
      <c r="A256" s="1">
        <v>45328</v>
      </c>
      <c r="B256" s="3" t="s">
        <v>23</v>
      </c>
      <c r="C256" s="3" t="s">
        <v>14</v>
      </c>
      <c r="D256" s="3" t="s">
        <v>15</v>
      </c>
      <c r="E256" s="4">
        <v>19</v>
      </c>
      <c r="F256" s="4">
        <v>1594</v>
      </c>
      <c r="G256" s="3" t="s">
        <v>16</v>
      </c>
      <c r="H256">
        <v>30286</v>
      </c>
      <c r="I256">
        <v>19337.145570000001</v>
      </c>
      <c r="J256">
        <v>10948.854429999999</v>
      </c>
      <c r="K256" s="5">
        <f>IF(Table1[[#This Row],[Revenue]]=0, 0, Table1[[#This Row],[Profit]]/Table1[[#This Row],[Revenue]])</f>
        <v>0.36151536782671861</v>
      </c>
    </row>
    <row r="257" spans="1:11" x14ac:dyDescent="0.35">
      <c r="A257" s="1">
        <v>45451</v>
      </c>
      <c r="B257" s="3" t="s">
        <v>10</v>
      </c>
      <c r="C257" s="3" t="s">
        <v>11</v>
      </c>
      <c r="D257" s="3" t="s">
        <v>12</v>
      </c>
      <c r="E257" s="4">
        <v>16</v>
      </c>
      <c r="F257" s="4">
        <v>874</v>
      </c>
      <c r="G257" s="3" t="s">
        <v>13</v>
      </c>
      <c r="H257">
        <v>13984</v>
      </c>
      <c r="I257">
        <v>8677.5457289999995</v>
      </c>
      <c r="J257">
        <v>5306.4542709999996</v>
      </c>
      <c r="K257" s="5">
        <f>IF(Table1[[#This Row],[Revenue]]=0, 0, Table1[[#This Row],[Profit]]/Table1[[#This Row],[Revenue]])</f>
        <v>0.37946612349828374</v>
      </c>
    </row>
    <row r="258" spans="1:11" x14ac:dyDescent="0.35">
      <c r="A258" s="1">
        <v>45300</v>
      </c>
      <c r="B258" s="3" t="s">
        <v>23</v>
      </c>
      <c r="C258" s="3" t="s">
        <v>22</v>
      </c>
      <c r="D258" s="3" t="s">
        <v>30</v>
      </c>
      <c r="E258" s="4">
        <v>7</v>
      </c>
      <c r="F258" s="4">
        <v>1018</v>
      </c>
      <c r="G258" s="3" t="s">
        <v>13</v>
      </c>
      <c r="H258">
        <v>7126</v>
      </c>
      <c r="I258">
        <v>5232.2660830000004</v>
      </c>
      <c r="J258">
        <v>1893.733917</v>
      </c>
      <c r="K258" s="5">
        <f>IF(Table1[[#This Row],[Revenue]]=0, 0, Table1[[#This Row],[Profit]]/Table1[[#This Row],[Revenue]])</f>
        <v>0.26574991818692112</v>
      </c>
    </row>
    <row r="259" spans="1:11" x14ac:dyDescent="0.35">
      <c r="A259" s="1">
        <v>45390</v>
      </c>
      <c r="B259" s="3" t="s">
        <v>23</v>
      </c>
      <c r="C259" s="3" t="s">
        <v>26</v>
      </c>
      <c r="D259" s="3" t="s">
        <v>18</v>
      </c>
      <c r="E259" s="4">
        <v>19</v>
      </c>
      <c r="F259" s="4">
        <v>554</v>
      </c>
      <c r="G259" s="3" t="s">
        <v>19</v>
      </c>
      <c r="H259">
        <v>10526</v>
      </c>
      <c r="I259">
        <v>7408.5273020000004</v>
      </c>
      <c r="J259">
        <v>3117.472698</v>
      </c>
      <c r="K259" s="5">
        <f>IF(Table1[[#This Row],[Revenue]]=0, 0, Table1[[#This Row],[Profit]]/Table1[[#This Row],[Revenue]])</f>
        <v>0.29616879137374119</v>
      </c>
    </row>
    <row r="260" spans="1:11" x14ac:dyDescent="0.35">
      <c r="A260" s="1">
        <v>45438</v>
      </c>
      <c r="B260" s="3" t="s">
        <v>20</v>
      </c>
      <c r="C260" s="3" t="s">
        <v>28</v>
      </c>
      <c r="D260" s="3" t="s">
        <v>32</v>
      </c>
      <c r="E260" s="4">
        <v>16</v>
      </c>
      <c r="F260" s="4">
        <v>465</v>
      </c>
      <c r="G260" s="3" t="s">
        <v>16</v>
      </c>
      <c r="H260">
        <v>7440</v>
      </c>
      <c r="I260">
        <v>6294.1949320000003</v>
      </c>
      <c r="J260">
        <v>1145.8050679999999</v>
      </c>
      <c r="K260" s="5">
        <f>IF(Table1[[#This Row],[Revenue]]=0, 0, Table1[[#This Row],[Profit]]/Table1[[#This Row],[Revenue]])</f>
        <v>0.15400605752688171</v>
      </c>
    </row>
    <row r="261" spans="1:11" x14ac:dyDescent="0.35">
      <c r="A261" s="1">
        <v>45595</v>
      </c>
      <c r="B261" s="3" t="s">
        <v>10</v>
      </c>
      <c r="C261" s="3" t="s">
        <v>26</v>
      </c>
      <c r="D261" s="3" t="s">
        <v>30</v>
      </c>
      <c r="E261" s="4">
        <v>7</v>
      </c>
      <c r="F261" s="4">
        <v>1413</v>
      </c>
      <c r="G261" s="3" t="s">
        <v>19</v>
      </c>
      <c r="H261">
        <v>9891</v>
      </c>
      <c r="I261">
        <v>7074.1837990000004</v>
      </c>
      <c r="J261">
        <v>2816.8162010000001</v>
      </c>
      <c r="K261" s="5">
        <f>IF(Table1[[#This Row],[Revenue]]=0, 0, Table1[[#This Row],[Profit]]/Table1[[#This Row],[Revenue]])</f>
        <v>0.28478578515822467</v>
      </c>
    </row>
    <row r="262" spans="1:11" x14ac:dyDescent="0.35">
      <c r="A262" s="1">
        <v>45499</v>
      </c>
      <c r="B262" s="3" t="s">
        <v>27</v>
      </c>
      <c r="C262" s="3" t="s">
        <v>22</v>
      </c>
      <c r="D262" s="3" t="s">
        <v>25</v>
      </c>
      <c r="E262" s="4">
        <v>9</v>
      </c>
      <c r="F262" s="4">
        <v>1997</v>
      </c>
      <c r="G262" s="3" t="s">
        <v>13</v>
      </c>
      <c r="H262">
        <v>17973</v>
      </c>
      <c r="I262">
        <v>14072.163</v>
      </c>
      <c r="J262">
        <v>3900.836996</v>
      </c>
      <c r="K262" s="5">
        <f>IF(Table1[[#This Row],[Revenue]]=0, 0, Table1[[#This Row],[Profit]]/Table1[[#This Row],[Revenue]])</f>
        <v>0.21703872453124132</v>
      </c>
    </row>
    <row r="263" spans="1:11" x14ac:dyDescent="0.35">
      <c r="A263" s="1">
        <v>45422</v>
      </c>
      <c r="B263" s="3" t="s">
        <v>10</v>
      </c>
      <c r="C263" s="3" t="s">
        <v>31</v>
      </c>
      <c r="D263" s="3" t="s">
        <v>18</v>
      </c>
      <c r="E263" s="4">
        <v>13</v>
      </c>
      <c r="F263" s="4">
        <v>502</v>
      </c>
      <c r="G263" s="3" t="s">
        <v>19</v>
      </c>
      <c r="H263">
        <v>6526</v>
      </c>
      <c r="I263">
        <v>4898.7289570000003</v>
      </c>
      <c r="J263">
        <v>1627.271043</v>
      </c>
      <c r="K263" s="5">
        <f>IF(Table1[[#This Row],[Revenue]]=0, 0, Table1[[#This Row],[Profit]]/Table1[[#This Row],[Revenue]])</f>
        <v>0.24935198329757891</v>
      </c>
    </row>
    <row r="264" spans="1:11" x14ac:dyDescent="0.35">
      <c r="A264" s="1">
        <v>45443</v>
      </c>
      <c r="B264" s="3" t="s">
        <v>27</v>
      </c>
      <c r="C264" s="3" t="s">
        <v>33</v>
      </c>
      <c r="D264" s="3" t="s">
        <v>12</v>
      </c>
      <c r="E264" s="4">
        <v>1</v>
      </c>
      <c r="F264" s="4">
        <v>157</v>
      </c>
      <c r="G264" s="3" t="s">
        <v>19</v>
      </c>
      <c r="H264">
        <v>157</v>
      </c>
      <c r="I264">
        <v>128.04291810000001</v>
      </c>
      <c r="J264">
        <v>28.957081899999999</v>
      </c>
      <c r="K264" s="5">
        <f>IF(Table1[[#This Row],[Revenue]]=0, 0, Table1[[#This Row],[Profit]]/Table1[[#This Row],[Revenue]])</f>
        <v>0.18444001210191083</v>
      </c>
    </row>
    <row r="265" spans="1:11" x14ac:dyDescent="0.35">
      <c r="A265" s="1">
        <v>45345</v>
      </c>
      <c r="B265" s="3" t="s">
        <v>20</v>
      </c>
      <c r="C265" s="3" t="s">
        <v>28</v>
      </c>
      <c r="D265" s="3" t="s">
        <v>32</v>
      </c>
      <c r="E265" s="4">
        <v>8</v>
      </c>
      <c r="F265" s="4">
        <v>620</v>
      </c>
      <c r="G265" s="3" t="s">
        <v>16</v>
      </c>
      <c r="H265">
        <v>4960</v>
      </c>
      <c r="I265">
        <v>3208.3734589999999</v>
      </c>
      <c r="J265">
        <v>1751.6265410000001</v>
      </c>
      <c r="K265" s="5">
        <f>IF(Table1[[#This Row],[Revenue]]=0, 0, Table1[[#This Row],[Profit]]/Table1[[#This Row],[Revenue]])</f>
        <v>0.35315051229838712</v>
      </c>
    </row>
    <row r="266" spans="1:11" x14ac:dyDescent="0.35">
      <c r="A266" s="1">
        <v>45452</v>
      </c>
      <c r="B266" s="3" t="s">
        <v>20</v>
      </c>
      <c r="C266" s="3" t="s">
        <v>28</v>
      </c>
      <c r="D266" s="3" t="s">
        <v>12</v>
      </c>
      <c r="E266" s="4">
        <v>3</v>
      </c>
      <c r="F266" s="4">
        <v>1238</v>
      </c>
      <c r="G266" s="3" t="s">
        <v>16</v>
      </c>
      <c r="H266">
        <v>3714</v>
      </c>
      <c r="I266">
        <v>2945.5356630000001</v>
      </c>
      <c r="J266">
        <v>768.464337</v>
      </c>
      <c r="K266" s="5">
        <f>IF(Table1[[#This Row],[Revenue]]=0, 0, Table1[[#This Row],[Profit]]/Table1[[#This Row],[Revenue]])</f>
        <v>0.20691016074313409</v>
      </c>
    </row>
    <row r="267" spans="1:11" x14ac:dyDescent="0.35">
      <c r="A267" s="1">
        <v>45407</v>
      </c>
      <c r="B267" s="3" t="s">
        <v>20</v>
      </c>
      <c r="C267" s="3" t="s">
        <v>26</v>
      </c>
      <c r="D267" s="3" t="s">
        <v>25</v>
      </c>
      <c r="E267" s="4">
        <v>3</v>
      </c>
      <c r="F267" s="4">
        <v>309</v>
      </c>
      <c r="G267" s="3" t="s">
        <v>19</v>
      </c>
      <c r="H267">
        <v>927</v>
      </c>
      <c r="I267">
        <v>631.55223279999996</v>
      </c>
      <c r="J267">
        <v>295.44776719999999</v>
      </c>
      <c r="K267" s="5">
        <f>IF(Table1[[#This Row],[Revenue]]=0, 0, Table1[[#This Row],[Profit]]/Table1[[#This Row],[Revenue]])</f>
        <v>0.31871388047464938</v>
      </c>
    </row>
    <row r="268" spans="1:11" x14ac:dyDescent="0.35">
      <c r="A268" s="1">
        <v>45366</v>
      </c>
      <c r="B268" s="3" t="s">
        <v>27</v>
      </c>
      <c r="C268" s="3" t="s">
        <v>17</v>
      </c>
      <c r="D268" s="3" t="s">
        <v>12</v>
      </c>
      <c r="E268" s="4">
        <v>13</v>
      </c>
      <c r="F268" s="4">
        <v>1164</v>
      </c>
      <c r="G268" s="3" t="s">
        <v>19</v>
      </c>
      <c r="H268">
        <v>15132</v>
      </c>
      <c r="I268">
        <v>9638.7225330000001</v>
      </c>
      <c r="J268">
        <v>5493.2774669999999</v>
      </c>
      <c r="K268" s="5">
        <f>IF(Table1[[#This Row],[Revenue]]=0, 0, Table1[[#This Row],[Profit]]/Table1[[#This Row],[Revenue]])</f>
        <v>0.36302388758921489</v>
      </c>
    </row>
    <row r="269" spans="1:11" x14ac:dyDescent="0.35">
      <c r="A269" s="1">
        <v>45404</v>
      </c>
      <c r="B269" s="3" t="s">
        <v>23</v>
      </c>
      <c r="C269" s="3" t="s">
        <v>24</v>
      </c>
      <c r="D269" s="3" t="s">
        <v>25</v>
      </c>
      <c r="E269" s="4">
        <v>8</v>
      </c>
      <c r="F269" s="4">
        <v>915</v>
      </c>
      <c r="G269" s="3" t="s">
        <v>19</v>
      </c>
      <c r="H269">
        <v>7320</v>
      </c>
      <c r="I269">
        <v>4720.7973389999997</v>
      </c>
      <c r="J269">
        <v>2599.2026609999998</v>
      </c>
      <c r="K269" s="5">
        <f>IF(Table1[[#This Row],[Revenue]]=0, 0, Table1[[#This Row],[Profit]]/Table1[[#This Row],[Revenue]])</f>
        <v>0.3550823307377049</v>
      </c>
    </row>
    <row r="270" spans="1:11" x14ac:dyDescent="0.35">
      <c r="A270" s="1">
        <v>45395</v>
      </c>
      <c r="B270" s="3" t="s">
        <v>27</v>
      </c>
      <c r="C270" s="3" t="s">
        <v>24</v>
      </c>
      <c r="D270" s="3" t="s">
        <v>32</v>
      </c>
      <c r="E270" s="4">
        <v>7</v>
      </c>
      <c r="F270" s="4">
        <v>272</v>
      </c>
      <c r="G270" s="3" t="s">
        <v>19</v>
      </c>
      <c r="H270">
        <v>1904</v>
      </c>
      <c r="I270">
        <v>1589.4570639999999</v>
      </c>
      <c r="J270">
        <v>314.54293619999999</v>
      </c>
      <c r="K270" s="5">
        <f>IF(Table1[[#This Row],[Revenue]]=0, 0, Table1[[#This Row],[Profit]]/Table1[[#This Row],[Revenue]])</f>
        <v>0.1652011219537815</v>
      </c>
    </row>
    <row r="271" spans="1:11" x14ac:dyDescent="0.35">
      <c r="A271" s="1">
        <v>45631</v>
      </c>
      <c r="B271" s="3" t="s">
        <v>10</v>
      </c>
      <c r="C271" s="3" t="s">
        <v>14</v>
      </c>
      <c r="D271" s="3" t="s">
        <v>18</v>
      </c>
      <c r="E271" s="4">
        <v>1</v>
      </c>
      <c r="F271" s="4">
        <v>333</v>
      </c>
      <c r="G271" s="3" t="s">
        <v>16</v>
      </c>
      <c r="H271">
        <v>333</v>
      </c>
      <c r="I271">
        <v>258.5521943</v>
      </c>
      <c r="J271">
        <v>74.447805669999994</v>
      </c>
      <c r="K271" s="5">
        <f>IF(Table1[[#This Row],[Revenue]]=0, 0, Table1[[#This Row],[Profit]]/Table1[[#This Row],[Revenue]])</f>
        <v>0.22356698399399397</v>
      </c>
    </row>
    <row r="272" spans="1:11" x14ac:dyDescent="0.35">
      <c r="A272" s="1">
        <v>45518</v>
      </c>
      <c r="B272" s="3" t="s">
        <v>20</v>
      </c>
      <c r="C272" s="3" t="s">
        <v>24</v>
      </c>
      <c r="D272" s="3" t="s">
        <v>25</v>
      </c>
      <c r="E272" s="4">
        <v>6</v>
      </c>
      <c r="F272" s="4">
        <v>1713</v>
      </c>
      <c r="G272" s="3" t="s">
        <v>19</v>
      </c>
      <c r="H272">
        <v>10278</v>
      </c>
      <c r="I272">
        <v>7193.2664690000001</v>
      </c>
      <c r="J272">
        <v>3084.7335309999999</v>
      </c>
      <c r="K272" s="5">
        <f>IF(Table1[[#This Row],[Revenue]]=0, 0, Table1[[#This Row],[Profit]]/Table1[[#This Row],[Revenue]])</f>
        <v>0.30012974615683985</v>
      </c>
    </row>
    <row r="273" spans="1:11" x14ac:dyDescent="0.35">
      <c r="A273" s="1">
        <v>45403</v>
      </c>
      <c r="B273" s="3" t="s">
        <v>10</v>
      </c>
      <c r="C273" s="3" t="s">
        <v>28</v>
      </c>
      <c r="D273" s="3" t="s">
        <v>21</v>
      </c>
      <c r="E273" s="4">
        <v>7</v>
      </c>
      <c r="F273" s="4">
        <v>1743</v>
      </c>
      <c r="G273" s="3" t="s">
        <v>16</v>
      </c>
      <c r="H273">
        <v>12201</v>
      </c>
      <c r="I273">
        <v>10452.93102</v>
      </c>
      <c r="J273">
        <v>1748.068976</v>
      </c>
      <c r="K273" s="5">
        <f>IF(Table1[[#This Row],[Revenue]]=0, 0, Table1[[#This Row],[Profit]]/Table1[[#This Row],[Revenue]])</f>
        <v>0.14327259863945579</v>
      </c>
    </row>
    <row r="274" spans="1:11" x14ac:dyDescent="0.35">
      <c r="A274" s="1">
        <v>45390</v>
      </c>
      <c r="B274" s="3" t="s">
        <v>27</v>
      </c>
      <c r="C274" s="3" t="s">
        <v>24</v>
      </c>
      <c r="D274" s="3" t="s">
        <v>30</v>
      </c>
      <c r="E274" s="4">
        <v>12</v>
      </c>
      <c r="F274" s="4">
        <v>892</v>
      </c>
      <c r="G274" s="3" t="s">
        <v>19</v>
      </c>
      <c r="H274">
        <v>10704</v>
      </c>
      <c r="I274">
        <v>9231.4374160000007</v>
      </c>
      <c r="J274">
        <v>1472.562584</v>
      </c>
      <c r="K274" s="5">
        <f>IF(Table1[[#This Row],[Revenue]]=0, 0, Table1[[#This Row],[Profit]]/Table1[[#This Row],[Revenue]])</f>
        <v>0.13757124289985054</v>
      </c>
    </row>
    <row r="275" spans="1:11" x14ac:dyDescent="0.35">
      <c r="A275" s="1">
        <v>45444</v>
      </c>
      <c r="B275" s="3" t="s">
        <v>23</v>
      </c>
      <c r="C275" s="3" t="s">
        <v>31</v>
      </c>
      <c r="D275" s="3" t="s">
        <v>32</v>
      </c>
      <c r="E275" s="4">
        <v>9</v>
      </c>
      <c r="F275" s="4">
        <v>1526</v>
      </c>
      <c r="G275" s="3" t="s">
        <v>19</v>
      </c>
      <c r="H275">
        <v>13734</v>
      </c>
      <c r="I275">
        <v>10635.315850000001</v>
      </c>
      <c r="J275">
        <v>3098.6841490000002</v>
      </c>
      <c r="K275" s="5">
        <f>IF(Table1[[#This Row],[Revenue]]=0, 0, Table1[[#This Row],[Profit]]/Table1[[#This Row],[Revenue]])</f>
        <v>0.2256213884520169</v>
      </c>
    </row>
    <row r="276" spans="1:11" x14ac:dyDescent="0.35">
      <c r="A276" s="1">
        <v>45640</v>
      </c>
      <c r="B276" s="3" t="s">
        <v>23</v>
      </c>
      <c r="C276" s="3" t="s">
        <v>31</v>
      </c>
      <c r="D276" s="3" t="s">
        <v>12</v>
      </c>
      <c r="E276" s="4">
        <v>11</v>
      </c>
      <c r="F276" s="4">
        <v>1162</v>
      </c>
      <c r="G276" s="3" t="s">
        <v>19</v>
      </c>
      <c r="H276">
        <v>12782</v>
      </c>
      <c r="I276">
        <v>9680.6166740000008</v>
      </c>
      <c r="J276">
        <v>3101.3833260000001</v>
      </c>
      <c r="K276" s="5">
        <f>IF(Table1[[#This Row],[Revenue]]=0, 0, Table1[[#This Row],[Profit]]/Table1[[#This Row],[Revenue]])</f>
        <v>0.24263678031606947</v>
      </c>
    </row>
    <row r="277" spans="1:11" x14ac:dyDescent="0.35">
      <c r="A277" s="1">
        <v>45657</v>
      </c>
      <c r="B277" s="3" t="s">
        <v>10</v>
      </c>
      <c r="C277" s="3" t="s">
        <v>14</v>
      </c>
      <c r="D277" s="3" t="s">
        <v>32</v>
      </c>
      <c r="E277" s="4">
        <v>10</v>
      </c>
      <c r="F277" s="4">
        <v>218</v>
      </c>
      <c r="G277" s="3" t="s">
        <v>16</v>
      </c>
      <c r="H277">
        <v>2180</v>
      </c>
      <c r="I277">
        <v>1841.9570200000001</v>
      </c>
      <c r="J277">
        <v>338.0429805</v>
      </c>
      <c r="K277" s="5">
        <f>IF(Table1[[#This Row],[Revenue]]=0, 0, Table1[[#This Row],[Profit]]/Table1[[#This Row],[Revenue]])</f>
        <v>0.15506558738532111</v>
      </c>
    </row>
    <row r="278" spans="1:11" x14ac:dyDescent="0.35">
      <c r="A278" s="1">
        <v>45629</v>
      </c>
      <c r="B278" s="3" t="s">
        <v>23</v>
      </c>
      <c r="C278" s="3" t="s">
        <v>31</v>
      </c>
      <c r="D278" s="3" t="s">
        <v>15</v>
      </c>
      <c r="E278" s="4">
        <v>1</v>
      </c>
      <c r="F278" s="4">
        <v>434</v>
      </c>
      <c r="G278" s="3" t="s">
        <v>19</v>
      </c>
      <c r="H278">
        <v>434</v>
      </c>
      <c r="I278">
        <v>357.96344040000002</v>
      </c>
      <c r="J278">
        <v>76.036559589999996</v>
      </c>
      <c r="K278" s="5">
        <f>IF(Table1[[#This Row],[Revenue]]=0, 0, Table1[[#This Row],[Profit]]/Table1[[#This Row],[Revenue]])</f>
        <v>0.17519944605990784</v>
      </c>
    </row>
    <row r="279" spans="1:11" x14ac:dyDescent="0.35">
      <c r="A279" s="1">
        <v>45485</v>
      </c>
      <c r="B279" s="3" t="s">
        <v>27</v>
      </c>
      <c r="C279" s="3" t="s">
        <v>24</v>
      </c>
      <c r="D279" s="3" t="s">
        <v>12</v>
      </c>
      <c r="E279" s="4">
        <v>18</v>
      </c>
      <c r="F279" s="4">
        <v>1459</v>
      </c>
      <c r="G279" s="3" t="s">
        <v>19</v>
      </c>
      <c r="H279">
        <v>26262</v>
      </c>
      <c r="I279">
        <v>18911.201990000001</v>
      </c>
      <c r="J279">
        <v>7350.7980109999999</v>
      </c>
      <c r="K279" s="5">
        <f>IF(Table1[[#This Row],[Revenue]]=0, 0, Table1[[#This Row],[Profit]]/Table1[[#This Row],[Revenue]])</f>
        <v>0.2799024450156119</v>
      </c>
    </row>
    <row r="280" spans="1:11" x14ac:dyDescent="0.35">
      <c r="A280" s="1">
        <v>45601</v>
      </c>
      <c r="B280" s="3" t="s">
        <v>27</v>
      </c>
      <c r="C280" s="3" t="s">
        <v>22</v>
      </c>
      <c r="D280" s="3" t="s">
        <v>32</v>
      </c>
      <c r="E280" s="4">
        <v>4</v>
      </c>
      <c r="F280" s="4">
        <v>1662</v>
      </c>
      <c r="G280" s="3" t="s">
        <v>13</v>
      </c>
      <c r="H280">
        <v>6648</v>
      </c>
      <c r="I280">
        <v>4153.8140329999997</v>
      </c>
      <c r="J280">
        <v>2494.1859669999999</v>
      </c>
      <c r="K280" s="5">
        <f>IF(Table1[[#This Row],[Revenue]]=0, 0, Table1[[#This Row],[Profit]]/Table1[[#This Row],[Revenue]])</f>
        <v>0.37517839455475327</v>
      </c>
    </row>
    <row r="281" spans="1:11" x14ac:dyDescent="0.35">
      <c r="A281" s="1">
        <v>45499</v>
      </c>
      <c r="B281" s="3" t="s">
        <v>27</v>
      </c>
      <c r="C281" s="3" t="s">
        <v>11</v>
      </c>
      <c r="D281" s="3" t="s">
        <v>12</v>
      </c>
      <c r="E281" s="4">
        <v>9</v>
      </c>
      <c r="F281" s="4">
        <v>1197</v>
      </c>
      <c r="G281" s="3" t="s">
        <v>13</v>
      </c>
      <c r="H281">
        <v>10773</v>
      </c>
      <c r="I281">
        <v>7009.0248549999997</v>
      </c>
      <c r="J281">
        <v>3763.9751449999999</v>
      </c>
      <c r="K281" s="5">
        <f>IF(Table1[[#This Row],[Revenue]]=0, 0, Table1[[#This Row],[Profit]]/Table1[[#This Row],[Revenue]])</f>
        <v>0.34938969135802467</v>
      </c>
    </row>
    <row r="282" spans="1:11" x14ac:dyDescent="0.35">
      <c r="A282" s="1">
        <v>45460</v>
      </c>
      <c r="B282" s="3" t="s">
        <v>20</v>
      </c>
      <c r="C282" s="3" t="s">
        <v>14</v>
      </c>
      <c r="D282" s="3" t="s">
        <v>12</v>
      </c>
      <c r="E282" s="4">
        <v>17</v>
      </c>
      <c r="F282" s="4">
        <v>1314</v>
      </c>
      <c r="G282" s="3" t="s">
        <v>16</v>
      </c>
      <c r="H282">
        <v>22338</v>
      </c>
      <c r="I282">
        <v>13512.548199999999</v>
      </c>
      <c r="J282">
        <v>8825.4517990000004</v>
      </c>
      <c r="K282" s="5">
        <f>IF(Table1[[#This Row],[Revenue]]=0, 0, Table1[[#This Row],[Profit]]/Table1[[#This Row],[Revenue]])</f>
        <v>0.39508692805980844</v>
      </c>
    </row>
    <row r="283" spans="1:11" x14ac:dyDescent="0.35">
      <c r="A283" s="1">
        <v>45452</v>
      </c>
      <c r="B283" s="3" t="s">
        <v>10</v>
      </c>
      <c r="C283" s="3" t="s">
        <v>17</v>
      </c>
      <c r="D283" s="3" t="s">
        <v>32</v>
      </c>
      <c r="E283" s="4">
        <v>3</v>
      </c>
      <c r="F283" s="4">
        <v>423</v>
      </c>
      <c r="G283" s="3" t="s">
        <v>19</v>
      </c>
      <c r="H283">
        <v>1269</v>
      </c>
      <c r="I283">
        <v>1082.445328</v>
      </c>
      <c r="J283">
        <v>186.55467150000001</v>
      </c>
      <c r="K283" s="5">
        <f>IF(Table1[[#This Row],[Revenue]]=0, 0, Table1[[#This Row],[Profit]]/Table1[[#This Row],[Revenue]])</f>
        <v>0.1470091973995272</v>
      </c>
    </row>
    <row r="284" spans="1:11" x14ac:dyDescent="0.35">
      <c r="A284" s="1">
        <v>45359</v>
      </c>
      <c r="B284" s="3" t="s">
        <v>27</v>
      </c>
      <c r="C284" s="3" t="s">
        <v>11</v>
      </c>
      <c r="D284" s="3" t="s">
        <v>12</v>
      </c>
      <c r="E284" s="4">
        <v>16</v>
      </c>
      <c r="F284" s="4">
        <v>1110</v>
      </c>
      <c r="G284" s="3" t="s">
        <v>13</v>
      </c>
      <c r="H284">
        <v>17760</v>
      </c>
      <c r="I284">
        <v>13736.93649</v>
      </c>
      <c r="J284">
        <v>4023.0635120000002</v>
      </c>
      <c r="K284" s="5">
        <f>IF(Table1[[#This Row],[Revenue]]=0, 0, Table1[[#This Row],[Profit]]/Table1[[#This Row],[Revenue]])</f>
        <v>0.22652384639639642</v>
      </c>
    </row>
    <row r="285" spans="1:11" x14ac:dyDescent="0.35">
      <c r="A285" s="1">
        <v>45580</v>
      </c>
      <c r="B285" s="3" t="s">
        <v>10</v>
      </c>
      <c r="C285" s="3" t="s">
        <v>11</v>
      </c>
      <c r="D285" s="3" t="s">
        <v>21</v>
      </c>
      <c r="E285" s="4">
        <v>5</v>
      </c>
      <c r="F285" s="4">
        <v>1270</v>
      </c>
      <c r="G285" s="3" t="s">
        <v>13</v>
      </c>
      <c r="H285">
        <v>6350</v>
      </c>
      <c r="I285">
        <v>5508.6237979999996</v>
      </c>
      <c r="J285">
        <v>841.37620230000005</v>
      </c>
      <c r="K285" s="5">
        <f>IF(Table1[[#This Row],[Revenue]]=0, 0, Table1[[#This Row],[Profit]]/Table1[[#This Row],[Revenue]])</f>
        <v>0.13250018933858268</v>
      </c>
    </row>
    <row r="286" spans="1:11" x14ac:dyDescent="0.35">
      <c r="A286" s="1">
        <v>45568</v>
      </c>
      <c r="B286" s="3" t="s">
        <v>23</v>
      </c>
      <c r="C286" s="3" t="s">
        <v>31</v>
      </c>
      <c r="D286" s="3" t="s">
        <v>30</v>
      </c>
      <c r="E286" s="4">
        <v>16</v>
      </c>
      <c r="F286" s="4">
        <v>1890</v>
      </c>
      <c r="G286" s="3" t="s">
        <v>19</v>
      </c>
      <c r="H286">
        <v>30240</v>
      </c>
      <c r="I286">
        <v>22540.183089999999</v>
      </c>
      <c r="J286">
        <v>7699.8169090000001</v>
      </c>
      <c r="K286" s="5">
        <f>IF(Table1[[#This Row],[Revenue]]=0, 0, Table1[[#This Row],[Profit]]/Table1[[#This Row],[Revenue]])</f>
        <v>0.25462357503306876</v>
      </c>
    </row>
    <row r="287" spans="1:11" x14ac:dyDescent="0.35">
      <c r="A287" s="1">
        <v>45595</v>
      </c>
      <c r="B287" s="3" t="s">
        <v>27</v>
      </c>
      <c r="C287" s="3" t="s">
        <v>31</v>
      </c>
      <c r="D287" s="3" t="s">
        <v>12</v>
      </c>
      <c r="E287" s="4">
        <v>3</v>
      </c>
      <c r="F287" s="4">
        <v>383</v>
      </c>
      <c r="G287" s="3" t="s">
        <v>19</v>
      </c>
      <c r="H287">
        <v>1149</v>
      </c>
      <c r="I287">
        <v>1008.7580349999999</v>
      </c>
      <c r="J287">
        <v>140.24196459999999</v>
      </c>
      <c r="K287" s="5">
        <f>IF(Table1[[#This Row],[Revenue]]=0, 0, Table1[[#This Row],[Profit]]/Table1[[#This Row],[Revenue]])</f>
        <v>0.12205566979982592</v>
      </c>
    </row>
    <row r="288" spans="1:11" x14ac:dyDescent="0.35">
      <c r="A288" s="1">
        <v>45426</v>
      </c>
      <c r="B288" s="3" t="s">
        <v>20</v>
      </c>
      <c r="C288" s="3" t="s">
        <v>24</v>
      </c>
      <c r="D288" s="3" t="s">
        <v>30</v>
      </c>
      <c r="E288" s="4">
        <v>15</v>
      </c>
      <c r="F288" s="4">
        <v>312</v>
      </c>
      <c r="G288" s="3" t="s">
        <v>19</v>
      </c>
      <c r="H288">
        <v>4680</v>
      </c>
      <c r="I288">
        <v>3304.976334</v>
      </c>
      <c r="J288">
        <v>1375.023666</v>
      </c>
      <c r="K288" s="5">
        <f>IF(Table1[[#This Row],[Revenue]]=0, 0, Table1[[#This Row],[Profit]]/Table1[[#This Row],[Revenue]])</f>
        <v>0.29380847564102563</v>
      </c>
    </row>
    <row r="289" spans="1:11" x14ac:dyDescent="0.35">
      <c r="A289" s="1">
        <v>45486</v>
      </c>
      <c r="B289" s="3" t="s">
        <v>27</v>
      </c>
      <c r="C289" s="3" t="s">
        <v>14</v>
      </c>
      <c r="D289" s="3" t="s">
        <v>32</v>
      </c>
      <c r="E289" s="4">
        <v>3</v>
      </c>
      <c r="F289" s="4">
        <v>1758</v>
      </c>
      <c r="G289" s="3" t="s">
        <v>16</v>
      </c>
      <c r="H289">
        <v>5274</v>
      </c>
      <c r="I289">
        <v>4310.7387120000003</v>
      </c>
      <c r="J289">
        <v>963.26128789999996</v>
      </c>
      <c r="K289" s="5">
        <f>IF(Table1[[#This Row],[Revenue]]=0, 0, Table1[[#This Row],[Profit]]/Table1[[#This Row],[Revenue]])</f>
        <v>0.1826433992984452</v>
      </c>
    </row>
    <row r="290" spans="1:11" x14ac:dyDescent="0.35">
      <c r="A290" s="1">
        <v>45419</v>
      </c>
      <c r="B290" s="3" t="s">
        <v>10</v>
      </c>
      <c r="C290" s="3" t="s">
        <v>17</v>
      </c>
      <c r="D290" s="3" t="s">
        <v>25</v>
      </c>
      <c r="E290" s="4">
        <v>14</v>
      </c>
      <c r="F290" s="4">
        <v>1841</v>
      </c>
      <c r="G290" s="3" t="s">
        <v>19</v>
      </c>
      <c r="H290">
        <v>25774</v>
      </c>
      <c r="I290">
        <v>17791.687890000001</v>
      </c>
      <c r="J290">
        <v>7982.312113</v>
      </c>
      <c r="K290" s="5">
        <f>IF(Table1[[#This Row],[Revenue]]=0, 0, Table1[[#This Row],[Profit]]/Table1[[#This Row],[Revenue]])</f>
        <v>0.30970404721812678</v>
      </c>
    </row>
    <row r="291" spans="1:11" x14ac:dyDescent="0.35">
      <c r="A291" s="1">
        <v>45324</v>
      </c>
      <c r="B291" s="3" t="s">
        <v>10</v>
      </c>
      <c r="C291" s="3" t="s">
        <v>14</v>
      </c>
      <c r="D291" s="3" t="s">
        <v>29</v>
      </c>
      <c r="E291" s="4">
        <v>16</v>
      </c>
      <c r="F291" s="4">
        <v>1028</v>
      </c>
      <c r="G291" s="3" t="s">
        <v>16</v>
      </c>
      <c r="H291">
        <v>16448</v>
      </c>
      <c r="I291">
        <v>9874.5419849999998</v>
      </c>
      <c r="J291">
        <v>6573.4580150000002</v>
      </c>
      <c r="K291" s="5">
        <f>IF(Table1[[#This Row],[Revenue]]=0, 0, Table1[[#This Row],[Profit]]/Table1[[#This Row],[Revenue]])</f>
        <v>0.39965090071741244</v>
      </c>
    </row>
    <row r="292" spans="1:11" x14ac:dyDescent="0.35">
      <c r="A292" s="1">
        <v>45467</v>
      </c>
      <c r="B292" s="3" t="s">
        <v>27</v>
      </c>
      <c r="C292" s="3" t="s">
        <v>26</v>
      </c>
      <c r="D292" s="3" t="s">
        <v>29</v>
      </c>
      <c r="E292" s="4">
        <v>17</v>
      </c>
      <c r="F292" s="4">
        <v>851</v>
      </c>
      <c r="G292" s="3" t="s">
        <v>19</v>
      </c>
      <c r="H292">
        <v>14467</v>
      </c>
      <c r="I292">
        <v>10328.329250000001</v>
      </c>
      <c r="J292">
        <v>4138.6707459999998</v>
      </c>
      <c r="K292" s="5">
        <f>IF(Table1[[#This Row],[Revenue]]=0, 0, Table1[[#This Row],[Profit]]/Table1[[#This Row],[Revenue]])</f>
        <v>0.28607663966268054</v>
      </c>
    </row>
    <row r="293" spans="1:11" x14ac:dyDescent="0.35">
      <c r="A293" s="1">
        <v>45313</v>
      </c>
      <c r="B293" s="3" t="s">
        <v>20</v>
      </c>
      <c r="C293" s="3" t="s">
        <v>28</v>
      </c>
      <c r="D293" s="3" t="s">
        <v>25</v>
      </c>
      <c r="E293" s="4">
        <v>18</v>
      </c>
      <c r="F293" s="4">
        <v>1517</v>
      </c>
      <c r="G293" s="3" t="s">
        <v>16</v>
      </c>
      <c r="H293">
        <v>27306</v>
      </c>
      <c r="I293">
        <v>22427.22753</v>
      </c>
      <c r="J293">
        <v>4878.7724699999999</v>
      </c>
      <c r="K293" s="5">
        <f>IF(Table1[[#This Row],[Revenue]]=0, 0, Table1[[#This Row],[Profit]]/Table1[[#This Row],[Revenue]])</f>
        <v>0.17867034607778509</v>
      </c>
    </row>
    <row r="294" spans="1:11" x14ac:dyDescent="0.35">
      <c r="A294" s="1">
        <v>45529</v>
      </c>
      <c r="B294" s="3" t="s">
        <v>20</v>
      </c>
      <c r="C294" s="3" t="s">
        <v>17</v>
      </c>
      <c r="D294" s="3" t="s">
        <v>25</v>
      </c>
      <c r="E294" s="4">
        <v>18</v>
      </c>
      <c r="F294" s="4">
        <v>438</v>
      </c>
      <c r="G294" s="3" t="s">
        <v>19</v>
      </c>
      <c r="H294">
        <v>7884</v>
      </c>
      <c r="I294">
        <v>5085.2371890000004</v>
      </c>
      <c r="J294">
        <v>2798.7628110000001</v>
      </c>
      <c r="K294" s="5">
        <f>IF(Table1[[#This Row],[Revenue]]=0, 0, Table1[[#This Row],[Profit]]/Table1[[#This Row],[Revenue]])</f>
        <v>0.35499274619482496</v>
      </c>
    </row>
    <row r="295" spans="1:11" x14ac:dyDescent="0.35">
      <c r="A295" s="1">
        <v>45449</v>
      </c>
      <c r="B295" s="3" t="s">
        <v>20</v>
      </c>
      <c r="C295" s="3" t="s">
        <v>17</v>
      </c>
      <c r="D295" s="3" t="s">
        <v>25</v>
      </c>
      <c r="E295" s="4">
        <v>14</v>
      </c>
      <c r="F295" s="4">
        <v>1921</v>
      </c>
      <c r="G295" s="3" t="s">
        <v>19</v>
      </c>
      <c r="H295">
        <v>26894</v>
      </c>
      <c r="I295">
        <v>20209.243760000001</v>
      </c>
      <c r="J295">
        <v>6684.7562360000002</v>
      </c>
      <c r="K295" s="5">
        <f>IF(Table1[[#This Row],[Revenue]]=0, 0, Table1[[#This Row],[Profit]]/Table1[[#This Row],[Revenue]])</f>
        <v>0.24855939004982525</v>
      </c>
    </row>
    <row r="296" spans="1:11" x14ac:dyDescent="0.35">
      <c r="A296" s="1">
        <v>45329</v>
      </c>
      <c r="B296" s="3" t="s">
        <v>10</v>
      </c>
      <c r="C296" s="3" t="s">
        <v>22</v>
      </c>
      <c r="D296" s="3" t="s">
        <v>18</v>
      </c>
      <c r="E296" s="4">
        <v>18</v>
      </c>
      <c r="F296" s="4">
        <v>1145</v>
      </c>
      <c r="G296" s="3" t="s">
        <v>13</v>
      </c>
      <c r="H296">
        <v>20610</v>
      </c>
      <c r="I296">
        <v>13678.783740000001</v>
      </c>
      <c r="J296">
        <v>6931.2162589999998</v>
      </c>
      <c r="K296" s="5">
        <f>IF(Table1[[#This Row],[Revenue]]=0, 0, Table1[[#This Row],[Profit]]/Table1[[#This Row],[Revenue]])</f>
        <v>0.33630355453663269</v>
      </c>
    </row>
    <row r="297" spans="1:11" x14ac:dyDescent="0.35">
      <c r="A297" s="1">
        <v>45656</v>
      </c>
      <c r="B297" s="3" t="s">
        <v>23</v>
      </c>
      <c r="C297" s="3" t="s">
        <v>34</v>
      </c>
      <c r="D297" s="3" t="s">
        <v>25</v>
      </c>
      <c r="E297" s="4">
        <v>15</v>
      </c>
      <c r="F297" s="4">
        <v>1992</v>
      </c>
      <c r="G297" s="3" t="s">
        <v>19</v>
      </c>
      <c r="H297">
        <v>29880</v>
      </c>
      <c r="I297">
        <v>23462.83957</v>
      </c>
      <c r="J297">
        <v>6417.1604340000004</v>
      </c>
      <c r="K297" s="5">
        <f>IF(Table1[[#This Row],[Revenue]]=0, 0, Table1[[#This Row],[Profit]]/Table1[[#This Row],[Revenue]])</f>
        <v>0.21476440542168676</v>
      </c>
    </row>
    <row r="298" spans="1:11" x14ac:dyDescent="0.35">
      <c r="A298" s="1">
        <v>45342</v>
      </c>
      <c r="B298" s="3" t="s">
        <v>10</v>
      </c>
      <c r="C298" s="3" t="s">
        <v>22</v>
      </c>
      <c r="D298" s="3" t="s">
        <v>18</v>
      </c>
      <c r="E298" s="4">
        <v>6</v>
      </c>
      <c r="F298" s="4">
        <v>204</v>
      </c>
      <c r="G298" s="3" t="s">
        <v>13</v>
      </c>
      <c r="H298">
        <v>1224</v>
      </c>
      <c r="I298">
        <v>1083.9625109999999</v>
      </c>
      <c r="J298">
        <v>140.03748909999999</v>
      </c>
      <c r="K298" s="5">
        <f>IF(Table1[[#This Row],[Revenue]]=0, 0, Table1[[#This Row],[Profit]]/Table1[[#This Row],[Revenue]])</f>
        <v>0.11440971331699346</v>
      </c>
    </row>
    <row r="299" spans="1:11" x14ac:dyDescent="0.35">
      <c r="A299" s="1">
        <v>45555</v>
      </c>
      <c r="B299" s="3" t="s">
        <v>20</v>
      </c>
      <c r="C299" s="3" t="s">
        <v>17</v>
      </c>
      <c r="D299" s="3" t="s">
        <v>15</v>
      </c>
      <c r="E299" s="4">
        <v>15</v>
      </c>
      <c r="F299" s="4">
        <v>1589</v>
      </c>
      <c r="G299" s="3" t="s">
        <v>19</v>
      </c>
      <c r="H299">
        <v>23835</v>
      </c>
      <c r="I299">
        <v>16522.69052</v>
      </c>
      <c r="J299">
        <v>7312.3094840000003</v>
      </c>
      <c r="K299" s="5">
        <f>IF(Table1[[#This Row],[Revenue]]=0, 0, Table1[[#This Row],[Profit]]/Table1[[#This Row],[Revenue]])</f>
        <v>0.30678873438221105</v>
      </c>
    </row>
    <row r="300" spans="1:11" x14ac:dyDescent="0.35">
      <c r="A300" s="1">
        <v>45574</v>
      </c>
      <c r="B300" s="3" t="s">
        <v>27</v>
      </c>
      <c r="C300" s="3" t="s">
        <v>17</v>
      </c>
      <c r="D300" s="3" t="s">
        <v>12</v>
      </c>
      <c r="E300" s="4">
        <v>18</v>
      </c>
      <c r="F300" s="4">
        <v>1582</v>
      </c>
      <c r="G300" s="3" t="s">
        <v>19</v>
      </c>
      <c r="H300">
        <v>28476</v>
      </c>
      <c r="I300">
        <v>22045.94094</v>
      </c>
      <c r="J300">
        <v>6430.0590570000004</v>
      </c>
      <c r="K300" s="5">
        <f>IF(Table1[[#This Row],[Revenue]]=0, 0, Table1[[#This Row],[Profit]]/Table1[[#This Row],[Revenue]])</f>
        <v>0.22580625990307629</v>
      </c>
    </row>
    <row r="301" spans="1:11" x14ac:dyDescent="0.35">
      <c r="A301" s="1">
        <v>45318</v>
      </c>
      <c r="B301" s="3" t="s">
        <v>20</v>
      </c>
      <c r="C301" s="3" t="s">
        <v>17</v>
      </c>
      <c r="D301" s="3" t="s">
        <v>18</v>
      </c>
      <c r="E301" s="4">
        <v>4</v>
      </c>
      <c r="F301" s="4">
        <v>1555</v>
      </c>
      <c r="G301" s="3" t="s">
        <v>19</v>
      </c>
      <c r="H301">
        <v>6220</v>
      </c>
      <c r="I301">
        <v>5511.4238839999998</v>
      </c>
      <c r="J301">
        <v>708.57611580000003</v>
      </c>
      <c r="K301" s="5">
        <f>IF(Table1[[#This Row],[Revenue]]=0, 0, Table1[[#This Row],[Profit]]/Table1[[#This Row],[Revenue]])</f>
        <v>0.11391898967845659</v>
      </c>
    </row>
    <row r="302" spans="1:11" x14ac:dyDescent="0.35">
      <c r="A302" s="1">
        <v>45517</v>
      </c>
      <c r="B302" s="3" t="s">
        <v>23</v>
      </c>
      <c r="C302" s="3" t="s">
        <v>11</v>
      </c>
      <c r="D302" s="3" t="s">
        <v>29</v>
      </c>
      <c r="E302" s="4">
        <v>8</v>
      </c>
      <c r="F302" s="4">
        <v>869</v>
      </c>
      <c r="G302" s="3" t="s">
        <v>13</v>
      </c>
      <c r="H302">
        <v>6952</v>
      </c>
      <c r="I302">
        <v>5527.8480749999999</v>
      </c>
      <c r="J302">
        <v>1424.1519249999999</v>
      </c>
      <c r="K302" s="5">
        <f>IF(Table1[[#This Row],[Revenue]]=0, 0, Table1[[#This Row],[Profit]]/Table1[[#This Row],[Revenue]])</f>
        <v>0.20485499496547754</v>
      </c>
    </row>
    <row r="303" spans="1:11" x14ac:dyDescent="0.35">
      <c r="A303" s="1">
        <v>45568</v>
      </c>
      <c r="B303" s="3" t="s">
        <v>20</v>
      </c>
      <c r="C303" s="3" t="s">
        <v>14</v>
      </c>
      <c r="D303" s="3" t="s">
        <v>32</v>
      </c>
      <c r="E303" s="4">
        <v>15</v>
      </c>
      <c r="F303" s="4">
        <v>815</v>
      </c>
      <c r="G303" s="3" t="s">
        <v>16</v>
      </c>
      <c r="H303">
        <v>12225</v>
      </c>
      <c r="I303">
        <v>9803.6430359999995</v>
      </c>
      <c r="J303">
        <v>2421.3569640000001</v>
      </c>
      <c r="K303" s="5">
        <f>IF(Table1[[#This Row],[Revenue]]=0, 0, Table1[[#This Row],[Profit]]/Table1[[#This Row],[Revenue]])</f>
        <v>0.19806600932515339</v>
      </c>
    </row>
    <row r="304" spans="1:11" x14ac:dyDescent="0.35">
      <c r="A304" s="1">
        <v>45577</v>
      </c>
      <c r="B304" s="3" t="s">
        <v>20</v>
      </c>
      <c r="C304" s="3" t="s">
        <v>28</v>
      </c>
      <c r="D304" s="3" t="s">
        <v>15</v>
      </c>
      <c r="E304" s="4">
        <v>3</v>
      </c>
      <c r="F304" s="4">
        <v>1945</v>
      </c>
      <c r="G304" s="3" t="s">
        <v>16</v>
      </c>
      <c r="H304">
        <v>5835</v>
      </c>
      <c r="I304">
        <v>3814.2143590000001</v>
      </c>
      <c r="J304">
        <v>2020.7856409999999</v>
      </c>
      <c r="K304" s="5">
        <f>IF(Table1[[#This Row],[Revenue]]=0, 0, Table1[[#This Row],[Profit]]/Table1[[#This Row],[Revenue]])</f>
        <v>0.34632144661525277</v>
      </c>
    </row>
    <row r="305" spans="1:11" x14ac:dyDescent="0.35">
      <c r="A305" s="1">
        <v>45388</v>
      </c>
      <c r="B305" s="3" t="s">
        <v>23</v>
      </c>
      <c r="C305" s="3" t="s">
        <v>28</v>
      </c>
      <c r="D305" s="3" t="s">
        <v>29</v>
      </c>
      <c r="E305" s="4">
        <v>15</v>
      </c>
      <c r="F305" s="4">
        <v>1897</v>
      </c>
      <c r="G305" s="3" t="s">
        <v>16</v>
      </c>
      <c r="H305">
        <v>28455</v>
      </c>
      <c r="I305">
        <v>21278.162520000002</v>
      </c>
      <c r="J305">
        <v>7176.8374759999997</v>
      </c>
      <c r="K305" s="5">
        <f>IF(Table1[[#This Row],[Revenue]]=0, 0, Table1[[#This Row],[Profit]]/Table1[[#This Row],[Revenue]])</f>
        <v>0.2522170963275347</v>
      </c>
    </row>
    <row r="306" spans="1:11" x14ac:dyDescent="0.35">
      <c r="A306" s="1">
        <v>45575</v>
      </c>
      <c r="B306" s="3" t="s">
        <v>27</v>
      </c>
      <c r="C306" s="3" t="s">
        <v>22</v>
      </c>
      <c r="D306" s="3" t="s">
        <v>12</v>
      </c>
      <c r="E306" s="4">
        <v>13</v>
      </c>
      <c r="F306" s="4">
        <v>1742</v>
      </c>
      <c r="G306" s="3" t="s">
        <v>13</v>
      </c>
      <c r="H306">
        <v>22646</v>
      </c>
      <c r="I306">
        <v>16081.48677</v>
      </c>
      <c r="J306">
        <v>6564.5132329999997</v>
      </c>
      <c r="K306" s="5">
        <f>IF(Table1[[#This Row],[Revenue]]=0, 0, Table1[[#This Row],[Profit]]/Table1[[#This Row],[Revenue]])</f>
        <v>0.28987517588095024</v>
      </c>
    </row>
    <row r="307" spans="1:11" x14ac:dyDescent="0.35">
      <c r="A307" s="1">
        <v>45608</v>
      </c>
      <c r="B307" s="3" t="s">
        <v>10</v>
      </c>
      <c r="C307" s="3" t="s">
        <v>17</v>
      </c>
      <c r="D307" s="3" t="s">
        <v>18</v>
      </c>
      <c r="E307" s="4">
        <v>9</v>
      </c>
      <c r="F307" s="4">
        <v>862</v>
      </c>
      <c r="G307" s="3" t="s">
        <v>19</v>
      </c>
      <c r="H307">
        <v>7758</v>
      </c>
      <c r="I307">
        <v>5750.9049779999996</v>
      </c>
      <c r="J307">
        <v>2007.095022</v>
      </c>
      <c r="K307" s="5">
        <f>IF(Table1[[#This Row],[Revenue]]=0, 0, Table1[[#This Row],[Profit]]/Table1[[#This Row],[Revenue]])</f>
        <v>0.25871294431554526</v>
      </c>
    </row>
    <row r="308" spans="1:11" x14ac:dyDescent="0.35">
      <c r="A308" s="1">
        <v>45595</v>
      </c>
      <c r="B308" s="3" t="s">
        <v>27</v>
      </c>
      <c r="C308" s="3" t="s">
        <v>43</v>
      </c>
      <c r="D308" s="3" t="s">
        <v>21</v>
      </c>
      <c r="E308" s="4">
        <v>2</v>
      </c>
      <c r="F308" s="4">
        <v>1344</v>
      </c>
      <c r="G308" s="3" t="s">
        <v>16</v>
      </c>
      <c r="H308">
        <v>2688</v>
      </c>
      <c r="I308">
        <v>2258.5865509999999</v>
      </c>
      <c r="J308">
        <v>429.41344880000003</v>
      </c>
      <c r="K308" s="5">
        <f>IF(Table1[[#This Row],[Revenue]]=0, 0, Table1[[#This Row],[Profit]]/Table1[[#This Row],[Revenue]])</f>
        <v>0.15975202708333333</v>
      </c>
    </row>
    <row r="309" spans="1:11" x14ac:dyDescent="0.35">
      <c r="A309" s="1">
        <v>45438</v>
      </c>
      <c r="B309" s="3" t="s">
        <v>23</v>
      </c>
      <c r="C309" s="3" t="s">
        <v>31</v>
      </c>
      <c r="D309" s="3" t="s">
        <v>44</v>
      </c>
      <c r="E309" s="4">
        <v>8</v>
      </c>
      <c r="F309" s="4">
        <v>478</v>
      </c>
      <c r="G309" s="3" t="s">
        <v>19</v>
      </c>
      <c r="H309">
        <v>3824</v>
      </c>
      <c r="I309">
        <v>2822.9138790000002</v>
      </c>
      <c r="J309">
        <v>1001.086121</v>
      </c>
      <c r="K309" s="5">
        <f>IF(Table1[[#This Row],[Revenue]]=0, 0, Table1[[#This Row],[Profit]]/Table1[[#This Row],[Revenue]])</f>
        <v>0.26179030360878663</v>
      </c>
    </row>
    <row r="310" spans="1:11" x14ac:dyDescent="0.35">
      <c r="A310" s="1">
        <v>45295</v>
      </c>
      <c r="B310" s="3" t="s">
        <v>20</v>
      </c>
      <c r="C310" s="3" t="s">
        <v>14</v>
      </c>
      <c r="D310" s="3" t="s">
        <v>12</v>
      </c>
      <c r="E310" s="4">
        <v>17</v>
      </c>
      <c r="F310" s="4">
        <v>1345</v>
      </c>
      <c r="G310" s="3" t="s">
        <v>16</v>
      </c>
      <c r="H310">
        <v>22865</v>
      </c>
      <c r="I310">
        <v>14150.124229999999</v>
      </c>
      <c r="J310">
        <v>8714.8757719999994</v>
      </c>
      <c r="K310" s="5">
        <f>IF(Table1[[#This Row],[Revenue]]=0, 0, Table1[[#This Row],[Profit]]/Table1[[#This Row],[Revenue]])</f>
        <v>0.3811447965012027</v>
      </c>
    </row>
    <row r="311" spans="1:11" x14ac:dyDescent="0.35">
      <c r="A311" s="1">
        <v>45326</v>
      </c>
      <c r="B311" s="3" t="s">
        <v>27</v>
      </c>
      <c r="C311" s="3" t="s">
        <v>28</v>
      </c>
      <c r="D311" s="3" t="s">
        <v>29</v>
      </c>
      <c r="E311" s="4">
        <v>13</v>
      </c>
      <c r="F311" s="4">
        <v>1381</v>
      </c>
      <c r="G311" s="3" t="s">
        <v>16</v>
      </c>
      <c r="H311">
        <v>17953</v>
      </c>
      <c r="I311">
        <v>15648.956829999999</v>
      </c>
      <c r="J311">
        <v>2304.0431669999998</v>
      </c>
      <c r="K311" s="5">
        <f>IF(Table1[[#This Row],[Revenue]]=0, 0, Table1[[#This Row],[Profit]]/Table1[[#This Row],[Revenue]])</f>
        <v>0.12833750164317939</v>
      </c>
    </row>
    <row r="312" spans="1:11" x14ac:dyDescent="0.35">
      <c r="A312" s="1">
        <v>45483</v>
      </c>
      <c r="B312" s="3" t="s">
        <v>10</v>
      </c>
      <c r="C312" s="3" t="s">
        <v>24</v>
      </c>
      <c r="D312" s="3" t="s">
        <v>25</v>
      </c>
      <c r="E312" s="4">
        <v>1</v>
      </c>
      <c r="F312" s="4">
        <v>812</v>
      </c>
      <c r="G312" s="3" t="s">
        <v>19</v>
      </c>
      <c r="H312">
        <v>812</v>
      </c>
      <c r="I312">
        <v>619.91715020000004</v>
      </c>
      <c r="J312">
        <v>192.08284979999999</v>
      </c>
      <c r="K312" s="5">
        <f>IF(Table1[[#This Row],[Revenue]]=0, 0, Table1[[#This Row],[Profit]]/Table1[[#This Row],[Revenue]])</f>
        <v>0.23655523374384235</v>
      </c>
    </row>
    <row r="313" spans="1:11" x14ac:dyDescent="0.35">
      <c r="A313" s="1">
        <v>45340</v>
      </c>
      <c r="B313" s="3" t="s">
        <v>23</v>
      </c>
      <c r="C313" s="3" t="s">
        <v>14</v>
      </c>
      <c r="D313" s="3" t="s">
        <v>18</v>
      </c>
      <c r="E313" s="4">
        <v>2</v>
      </c>
      <c r="F313" s="4">
        <v>1490</v>
      </c>
      <c r="G313" s="3" t="s">
        <v>16</v>
      </c>
      <c r="H313">
        <v>2980</v>
      </c>
      <c r="I313">
        <v>2614.497957</v>
      </c>
      <c r="J313">
        <v>365.50204350000001</v>
      </c>
      <c r="K313" s="5">
        <f>IF(Table1[[#This Row],[Revenue]]=0, 0, Table1[[#This Row],[Profit]]/Table1[[#This Row],[Revenue]])</f>
        <v>0.12265169244966444</v>
      </c>
    </row>
    <row r="314" spans="1:11" x14ac:dyDescent="0.35">
      <c r="A314" s="1">
        <v>45308</v>
      </c>
      <c r="B314" s="3" t="s">
        <v>27</v>
      </c>
      <c r="C314" s="3" t="s">
        <v>24</v>
      </c>
      <c r="D314" s="3" t="s">
        <v>25</v>
      </c>
      <c r="E314" s="4">
        <v>15</v>
      </c>
      <c r="F314" s="4">
        <v>1893</v>
      </c>
      <c r="G314" s="3" t="s">
        <v>19</v>
      </c>
      <c r="H314">
        <v>28395</v>
      </c>
      <c r="I314">
        <v>21912.601910000001</v>
      </c>
      <c r="J314">
        <v>6482.3980890000003</v>
      </c>
      <c r="K314" s="5">
        <f>IF(Table1[[#This Row],[Revenue]]=0, 0, Table1[[#This Row],[Profit]]/Table1[[#This Row],[Revenue]])</f>
        <v>0.22829364638140517</v>
      </c>
    </row>
    <row r="315" spans="1:11" x14ac:dyDescent="0.35">
      <c r="A315" s="1">
        <v>45463</v>
      </c>
      <c r="B315" s="3" t="s">
        <v>10</v>
      </c>
      <c r="C315" s="3" t="s">
        <v>28</v>
      </c>
      <c r="D315" s="3" t="s">
        <v>25</v>
      </c>
      <c r="E315" s="4">
        <v>12</v>
      </c>
      <c r="F315" s="4">
        <v>1472</v>
      </c>
      <c r="G315" s="3" t="s">
        <v>16</v>
      </c>
      <c r="H315">
        <v>17664</v>
      </c>
      <c r="I315">
        <v>10967.41677</v>
      </c>
      <c r="J315">
        <v>6696.5832339999997</v>
      </c>
      <c r="K315" s="5">
        <f>IF(Table1[[#This Row],[Revenue]]=0, 0, Table1[[#This Row],[Profit]]/Table1[[#This Row],[Revenue]])</f>
        <v>0.37910910518568841</v>
      </c>
    </row>
    <row r="316" spans="1:11" x14ac:dyDescent="0.35">
      <c r="A316" s="1">
        <v>45511</v>
      </c>
      <c r="B316" s="3" t="s">
        <v>23</v>
      </c>
      <c r="C316" s="3" t="s">
        <v>31</v>
      </c>
      <c r="D316" s="3" t="s">
        <v>25</v>
      </c>
      <c r="E316" s="4">
        <v>14</v>
      </c>
      <c r="F316" s="4">
        <v>324</v>
      </c>
      <c r="G316" s="3" t="s">
        <v>19</v>
      </c>
      <c r="H316">
        <v>4536</v>
      </c>
      <c r="I316">
        <v>3473.9446710000002</v>
      </c>
      <c r="J316">
        <v>1062.055329</v>
      </c>
      <c r="K316" s="5">
        <f>IF(Table1[[#This Row],[Revenue]]=0, 0, Table1[[#This Row],[Profit]]/Table1[[#This Row],[Revenue]])</f>
        <v>0.23413918187830687</v>
      </c>
    </row>
    <row r="317" spans="1:11" x14ac:dyDescent="0.35">
      <c r="A317" s="1">
        <v>45449</v>
      </c>
      <c r="B317" s="3" t="s">
        <v>10</v>
      </c>
      <c r="C317" s="3" t="s">
        <v>24</v>
      </c>
      <c r="D317" s="3" t="s">
        <v>25</v>
      </c>
      <c r="E317" s="4">
        <v>2</v>
      </c>
      <c r="F317" s="4">
        <v>1837</v>
      </c>
      <c r="G317" s="3" t="s">
        <v>19</v>
      </c>
      <c r="H317">
        <v>3674</v>
      </c>
      <c r="I317">
        <v>2838.9794510000002</v>
      </c>
      <c r="J317">
        <v>835.02054859999998</v>
      </c>
      <c r="K317" s="5">
        <f>IF(Table1[[#This Row],[Revenue]]=0, 0, Table1[[#This Row],[Profit]]/Table1[[#This Row],[Revenue]])</f>
        <v>0.22727832025040828</v>
      </c>
    </row>
    <row r="318" spans="1:11" x14ac:dyDescent="0.35">
      <c r="A318" s="1">
        <v>45337</v>
      </c>
      <c r="B318" s="3" t="s">
        <v>23</v>
      </c>
      <c r="C318" s="3" t="s">
        <v>11</v>
      </c>
      <c r="D318" s="3" t="s">
        <v>25</v>
      </c>
      <c r="E318" s="4">
        <v>18</v>
      </c>
      <c r="F318" s="4">
        <v>837</v>
      </c>
      <c r="G318" s="3" t="s">
        <v>13</v>
      </c>
      <c r="H318">
        <v>15066</v>
      </c>
      <c r="I318">
        <v>10008.373390000001</v>
      </c>
      <c r="J318">
        <v>5057.6266130000004</v>
      </c>
      <c r="K318" s="5">
        <f>IF(Table1[[#This Row],[Revenue]]=0, 0, Table1[[#This Row],[Profit]]/Table1[[#This Row],[Revenue]])</f>
        <v>0.33569803617416705</v>
      </c>
    </row>
    <row r="319" spans="1:11" x14ac:dyDescent="0.35">
      <c r="A319" s="1">
        <v>45297</v>
      </c>
      <c r="B319" s="3" t="s">
        <v>20</v>
      </c>
      <c r="C319" s="3" t="s">
        <v>28</v>
      </c>
      <c r="D319" s="3" t="s">
        <v>15</v>
      </c>
      <c r="E319" s="4">
        <v>7</v>
      </c>
      <c r="F319" s="4">
        <v>335</v>
      </c>
      <c r="G319" s="3" t="s">
        <v>16</v>
      </c>
      <c r="H319">
        <v>2345</v>
      </c>
      <c r="I319">
        <v>1738.3689609999999</v>
      </c>
      <c r="J319">
        <v>606.6310393</v>
      </c>
      <c r="K319" s="5">
        <f>IF(Table1[[#This Row],[Revenue]]=0, 0, Table1[[#This Row],[Profit]]/Table1[[#This Row],[Revenue]])</f>
        <v>0.25869127475479742</v>
      </c>
    </row>
    <row r="320" spans="1:11" x14ac:dyDescent="0.35">
      <c r="A320" s="1">
        <v>45390</v>
      </c>
      <c r="B320" s="3" t="s">
        <v>27</v>
      </c>
      <c r="C320" s="3" t="s">
        <v>11</v>
      </c>
      <c r="D320" s="3" t="s">
        <v>29</v>
      </c>
      <c r="E320" s="4">
        <v>6</v>
      </c>
      <c r="F320" s="4">
        <v>282</v>
      </c>
      <c r="G320" s="3" t="s">
        <v>13</v>
      </c>
      <c r="H320">
        <v>1692</v>
      </c>
      <c r="I320">
        <v>1248.412511</v>
      </c>
      <c r="J320">
        <v>443.58748859999997</v>
      </c>
      <c r="K320" s="5">
        <f>IF(Table1[[#This Row],[Revenue]]=0, 0, Table1[[#This Row],[Profit]]/Table1[[#This Row],[Revenue]])</f>
        <v>0.26216754645390067</v>
      </c>
    </row>
    <row r="321" spans="1:11" x14ac:dyDescent="0.35">
      <c r="A321" s="1">
        <v>45524</v>
      </c>
      <c r="B321" s="3" t="s">
        <v>10</v>
      </c>
      <c r="C321" s="3" t="s">
        <v>28</v>
      </c>
      <c r="D321" s="3" t="s">
        <v>12</v>
      </c>
      <c r="E321" s="4">
        <v>14</v>
      </c>
      <c r="F321" s="4">
        <v>811</v>
      </c>
      <c r="G321" s="3" t="s">
        <v>16</v>
      </c>
      <c r="H321">
        <v>11354</v>
      </c>
      <c r="I321">
        <v>8934.040739</v>
      </c>
      <c r="J321">
        <v>2419.959261</v>
      </c>
      <c r="K321" s="5">
        <f>IF(Table1[[#This Row],[Revenue]]=0, 0, Table1[[#This Row],[Profit]]/Table1[[#This Row],[Revenue]])</f>
        <v>0.21313715527567376</v>
      </c>
    </row>
    <row r="322" spans="1:11" x14ac:dyDescent="0.35">
      <c r="A322" s="1">
        <v>45328</v>
      </c>
      <c r="B322" s="3" t="s">
        <v>23</v>
      </c>
      <c r="C322" s="3" t="s">
        <v>26</v>
      </c>
      <c r="D322" s="3" t="s">
        <v>29</v>
      </c>
      <c r="E322" s="4">
        <v>8</v>
      </c>
      <c r="F322" s="4">
        <v>1992</v>
      </c>
      <c r="G322" s="3" t="s">
        <v>19</v>
      </c>
      <c r="H322">
        <v>15936</v>
      </c>
      <c r="I322">
        <v>10802.763080000001</v>
      </c>
      <c r="J322">
        <v>5133.2369170000002</v>
      </c>
      <c r="K322" s="5">
        <f>IF(Table1[[#This Row],[Revenue]]=0, 0, Table1[[#This Row],[Profit]]/Table1[[#This Row],[Revenue]])</f>
        <v>0.3221157703940763</v>
      </c>
    </row>
    <row r="323" spans="1:11" x14ac:dyDescent="0.35">
      <c r="A323" s="1">
        <v>45571</v>
      </c>
      <c r="B323" s="3" t="s">
        <v>10</v>
      </c>
      <c r="C323" s="3" t="s">
        <v>26</v>
      </c>
      <c r="D323" s="3" t="s">
        <v>12</v>
      </c>
      <c r="E323" s="4">
        <v>2</v>
      </c>
      <c r="F323" s="4">
        <v>1881</v>
      </c>
      <c r="G323" s="3" t="s">
        <v>19</v>
      </c>
      <c r="H323">
        <v>3762</v>
      </c>
      <c r="I323">
        <v>2913.7612640000002</v>
      </c>
      <c r="J323">
        <v>848.23873549999996</v>
      </c>
      <c r="K323" s="5">
        <f>IF(Table1[[#This Row],[Revenue]]=0, 0, Table1[[#This Row],[Profit]]/Table1[[#This Row],[Revenue]])</f>
        <v>0.22547547461456671</v>
      </c>
    </row>
    <row r="324" spans="1:11" x14ac:dyDescent="0.35">
      <c r="A324" s="1">
        <v>45640</v>
      </c>
      <c r="B324" s="3" t="s">
        <v>43</v>
      </c>
      <c r="C324" s="3" t="s">
        <v>26</v>
      </c>
      <c r="D324" s="3" t="s">
        <v>30</v>
      </c>
      <c r="E324" s="4">
        <v>17</v>
      </c>
      <c r="F324" s="4">
        <v>543</v>
      </c>
      <c r="G324" s="3" t="s">
        <v>19</v>
      </c>
      <c r="H324">
        <v>9231</v>
      </c>
      <c r="I324">
        <v>6205.8684919999996</v>
      </c>
      <c r="J324">
        <v>3025.1315079999999</v>
      </c>
      <c r="K324" s="5">
        <f>IF(Table1[[#This Row],[Revenue]]=0, 0, Table1[[#This Row],[Profit]]/Table1[[#This Row],[Revenue]])</f>
        <v>0.32771438717365398</v>
      </c>
    </row>
    <row r="325" spans="1:11" x14ac:dyDescent="0.35">
      <c r="A325" s="1">
        <v>45593</v>
      </c>
      <c r="B325" s="3" t="s">
        <v>27</v>
      </c>
      <c r="C325" s="3" t="s">
        <v>24</v>
      </c>
      <c r="D325" s="3" t="s">
        <v>18</v>
      </c>
      <c r="E325" s="4">
        <v>5</v>
      </c>
      <c r="F325" s="4">
        <v>1988</v>
      </c>
      <c r="G325" s="3" t="s">
        <v>19</v>
      </c>
      <c r="H325">
        <v>9940</v>
      </c>
      <c r="I325">
        <v>7295.2998020000005</v>
      </c>
      <c r="J325">
        <v>2644.700198</v>
      </c>
      <c r="K325" s="5">
        <f>IF(Table1[[#This Row],[Revenue]]=0, 0, Table1[[#This Row],[Profit]]/Table1[[#This Row],[Revenue]])</f>
        <v>0.26606641830985917</v>
      </c>
    </row>
    <row r="326" spans="1:11" x14ac:dyDescent="0.35">
      <c r="A326" s="1">
        <v>45472</v>
      </c>
      <c r="B326" s="3" t="s">
        <v>20</v>
      </c>
      <c r="C326" s="3" t="s">
        <v>11</v>
      </c>
      <c r="D326" s="3" t="s">
        <v>21</v>
      </c>
      <c r="E326" s="4">
        <v>14</v>
      </c>
      <c r="F326" s="4">
        <v>722</v>
      </c>
      <c r="G326" s="3" t="s">
        <v>13</v>
      </c>
      <c r="H326">
        <v>10108</v>
      </c>
      <c r="I326">
        <v>6436.8927629999998</v>
      </c>
      <c r="J326">
        <v>3671.1072370000002</v>
      </c>
      <c r="K326" s="5">
        <f>IF(Table1[[#This Row],[Revenue]]=0, 0, Table1[[#This Row],[Profit]]/Table1[[#This Row],[Revenue]])</f>
        <v>0.36318829016620502</v>
      </c>
    </row>
    <row r="327" spans="1:11" x14ac:dyDescent="0.35">
      <c r="A327" s="1">
        <v>45386</v>
      </c>
      <c r="B327" s="3" t="s">
        <v>10</v>
      </c>
      <c r="C327" s="3" t="s">
        <v>11</v>
      </c>
      <c r="D327" s="3" t="s">
        <v>15</v>
      </c>
      <c r="E327" s="4">
        <v>3</v>
      </c>
      <c r="F327" s="4">
        <v>1129</v>
      </c>
      <c r="G327" s="3" t="s">
        <v>13</v>
      </c>
      <c r="H327">
        <v>3387</v>
      </c>
      <c r="I327">
        <v>2070.101087</v>
      </c>
      <c r="J327">
        <v>1316.898913</v>
      </c>
      <c r="K327" s="5">
        <f>IF(Table1[[#This Row],[Revenue]]=0, 0, Table1[[#This Row],[Profit]]/Table1[[#This Row],[Revenue]])</f>
        <v>0.38880983554768234</v>
      </c>
    </row>
    <row r="328" spans="1:11" x14ac:dyDescent="0.35">
      <c r="A328" s="1">
        <v>45390</v>
      </c>
      <c r="B328" s="3" t="s">
        <v>43</v>
      </c>
      <c r="C328" s="3" t="s">
        <v>11</v>
      </c>
      <c r="D328" s="3" t="s">
        <v>18</v>
      </c>
      <c r="E328" s="4">
        <v>5</v>
      </c>
      <c r="F328" s="4">
        <v>1359</v>
      </c>
      <c r="G328" s="3" t="s">
        <v>13</v>
      </c>
      <c r="H328">
        <v>6795</v>
      </c>
      <c r="I328">
        <v>4730.5172229999998</v>
      </c>
      <c r="J328">
        <v>2064.4827770000002</v>
      </c>
      <c r="K328" s="5">
        <f>IF(Table1[[#This Row],[Revenue]]=0, 0, Table1[[#This Row],[Profit]]/Table1[[#This Row],[Revenue]])</f>
        <v>0.30382380824135397</v>
      </c>
    </row>
    <row r="329" spans="1:11" x14ac:dyDescent="0.35">
      <c r="A329" s="1">
        <v>45479</v>
      </c>
      <c r="B329" s="3" t="s">
        <v>23</v>
      </c>
      <c r="C329" s="3" t="s">
        <v>31</v>
      </c>
      <c r="D329" s="3" t="s">
        <v>15</v>
      </c>
      <c r="E329" s="4">
        <v>16</v>
      </c>
      <c r="F329" s="4">
        <v>1250</v>
      </c>
      <c r="G329" s="3" t="s">
        <v>19</v>
      </c>
      <c r="H329">
        <v>20000</v>
      </c>
      <c r="I329">
        <v>13647.4305</v>
      </c>
      <c r="J329">
        <v>6352.5694960000001</v>
      </c>
      <c r="K329" s="5">
        <f>IF(Table1[[#This Row],[Revenue]]=0, 0, Table1[[#This Row],[Profit]]/Table1[[#This Row],[Revenue]])</f>
        <v>0.3176284748</v>
      </c>
    </row>
    <row r="330" spans="1:11" x14ac:dyDescent="0.35">
      <c r="A330" s="1">
        <v>45407</v>
      </c>
      <c r="B330" s="3" t="s">
        <v>20</v>
      </c>
      <c r="C330" s="3" t="s">
        <v>11</v>
      </c>
      <c r="D330" s="3" t="s">
        <v>12</v>
      </c>
      <c r="E330" s="4">
        <v>18</v>
      </c>
      <c r="F330" s="4">
        <v>1227</v>
      </c>
      <c r="G330" s="3" t="s">
        <v>13</v>
      </c>
      <c r="H330">
        <v>22086</v>
      </c>
      <c r="I330">
        <v>15947.875969999999</v>
      </c>
      <c r="J330">
        <v>6138.1240340000004</v>
      </c>
      <c r="K330" s="5">
        <f>IF(Table1[[#This Row],[Revenue]]=0, 0, Table1[[#This Row],[Profit]]/Table1[[#This Row],[Revenue]])</f>
        <v>0.27791922638775696</v>
      </c>
    </row>
    <row r="331" spans="1:11" x14ac:dyDescent="0.35">
      <c r="A331" s="1">
        <v>45482</v>
      </c>
      <c r="B331" s="3" t="s">
        <v>23</v>
      </c>
      <c r="C331" s="3" t="s">
        <v>31</v>
      </c>
      <c r="D331" s="3" t="s">
        <v>29</v>
      </c>
      <c r="E331" s="4">
        <v>17</v>
      </c>
      <c r="F331" s="4">
        <v>848</v>
      </c>
      <c r="G331" s="3" t="s">
        <v>19</v>
      </c>
      <c r="H331">
        <v>14416</v>
      </c>
      <c r="I331">
        <v>12809.98243</v>
      </c>
      <c r="J331">
        <v>1606.0175650000001</v>
      </c>
      <c r="K331" s="5">
        <f>IF(Table1[[#This Row],[Revenue]]=0, 0, Table1[[#This Row],[Profit]]/Table1[[#This Row],[Revenue]])</f>
        <v>0.1114052139983352</v>
      </c>
    </row>
    <row r="332" spans="1:11" x14ac:dyDescent="0.35">
      <c r="A332" s="1">
        <v>45544</v>
      </c>
      <c r="B332" s="3" t="s">
        <v>20</v>
      </c>
      <c r="C332" s="3" t="s">
        <v>26</v>
      </c>
      <c r="D332" s="3" t="s">
        <v>25</v>
      </c>
      <c r="E332" s="4">
        <v>11</v>
      </c>
      <c r="F332" s="4">
        <v>1603</v>
      </c>
      <c r="G332" s="3" t="s">
        <v>19</v>
      </c>
      <c r="H332">
        <v>17633</v>
      </c>
      <c r="I332">
        <v>13342.340749999999</v>
      </c>
      <c r="J332">
        <v>4290.6592540000001</v>
      </c>
      <c r="K332" s="5">
        <f>IF(Table1[[#This Row],[Revenue]]=0, 0, Table1[[#This Row],[Profit]]/Table1[[#This Row],[Revenue]])</f>
        <v>0.24333121159190155</v>
      </c>
    </row>
    <row r="333" spans="1:11" x14ac:dyDescent="0.35">
      <c r="A333" s="1">
        <v>45452</v>
      </c>
      <c r="B333" s="3" t="s">
        <v>23</v>
      </c>
      <c r="C333" s="3" t="s">
        <v>26</v>
      </c>
      <c r="D333" s="3" t="s">
        <v>30</v>
      </c>
      <c r="E333" s="4">
        <v>17</v>
      </c>
      <c r="F333" s="4">
        <v>254</v>
      </c>
      <c r="G333" s="3" t="s">
        <v>19</v>
      </c>
      <c r="H333">
        <v>4318</v>
      </c>
      <c r="I333">
        <v>3307.3851049999998</v>
      </c>
      <c r="J333">
        <v>1010.614895</v>
      </c>
      <c r="K333" s="5">
        <f>IF(Table1[[#This Row],[Revenue]]=0, 0, Table1[[#This Row],[Profit]]/Table1[[#This Row],[Revenue]])</f>
        <v>0.2340469881889764</v>
      </c>
    </row>
    <row r="334" spans="1:11" x14ac:dyDescent="0.35">
      <c r="A334" s="1">
        <v>45547</v>
      </c>
      <c r="B334" s="3" t="s">
        <v>27</v>
      </c>
      <c r="C334" s="3" t="s">
        <v>24</v>
      </c>
      <c r="D334" s="3" t="s">
        <v>30</v>
      </c>
      <c r="E334" s="4">
        <v>16</v>
      </c>
      <c r="F334" s="4">
        <v>356</v>
      </c>
      <c r="G334" s="3" t="s">
        <v>19</v>
      </c>
      <c r="H334">
        <v>5696</v>
      </c>
      <c r="I334">
        <v>5026.6078550000002</v>
      </c>
      <c r="J334">
        <v>669.39214489999995</v>
      </c>
      <c r="K334" s="5">
        <f>IF(Table1[[#This Row],[Revenue]]=0, 0, Table1[[#This Row],[Profit]]/Table1[[#This Row],[Revenue]])</f>
        <v>0.1175196883602528</v>
      </c>
    </row>
    <row r="335" spans="1:11" x14ac:dyDescent="0.35">
      <c r="A335" s="1">
        <v>45614</v>
      </c>
      <c r="B335" s="3" t="s">
        <v>43</v>
      </c>
      <c r="C335" s="3" t="s">
        <v>28</v>
      </c>
      <c r="D335" s="3" t="s">
        <v>44</v>
      </c>
      <c r="E335" s="4">
        <v>2</v>
      </c>
      <c r="F335" s="4">
        <v>334</v>
      </c>
      <c r="G335" s="3" t="s">
        <v>16</v>
      </c>
      <c r="H335">
        <v>668</v>
      </c>
      <c r="I335">
        <v>585.39788639999995</v>
      </c>
      <c r="J335">
        <v>82.602113630000005</v>
      </c>
      <c r="K335" s="5">
        <f>IF(Table1[[#This Row],[Revenue]]=0, 0, Table1[[#This Row],[Profit]]/Table1[[#This Row],[Revenue]])</f>
        <v>0.12365585872754492</v>
      </c>
    </row>
    <row r="336" spans="1:11" x14ac:dyDescent="0.35">
      <c r="A336" s="1">
        <v>45419</v>
      </c>
      <c r="B336" s="3" t="s">
        <v>27</v>
      </c>
      <c r="C336" s="3" t="s">
        <v>26</v>
      </c>
      <c r="D336" s="3" t="s">
        <v>21</v>
      </c>
      <c r="E336" s="4">
        <v>4</v>
      </c>
      <c r="F336" s="4">
        <v>599</v>
      </c>
      <c r="G336" s="3" t="s">
        <v>19</v>
      </c>
      <c r="H336">
        <v>2396</v>
      </c>
      <c r="I336">
        <v>2073.0996719999998</v>
      </c>
      <c r="J336">
        <v>322.9003275</v>
      </c>
      <c r="K336" s="5">
        <f>IF(Table1[[#This Row],[Revenue]]=0, 0, Table1[[#This Row],[Profit]]/Table1[[#This Row],[Revenue]])</f>
        <v>0.13476641381469115</v>
      </c>
    </row>
    <row r="337" spans="1:11" x14ac:dyDescent="0.35">
      <c r="A337" s="1">
        <v>45309</v>
      </c>
      <c r="B337" s="3" t="s">
        <v>10</v>
      </c>
      <c r="C337" s="3" t="s">
        <v>28</v>
      </c>
      <c r="D337" s="3" t="s">
        <v>30</v>
      </c>
      <c r="E337" s="4">
        <v>7</v>
      </c>
      <c r="F337" s="4">
        <v>388</v>
      </c>
      <c r="G337" s="3" t="s">
        <v>16</v>
      </c>
      <c r="H337">
        <v>2716</v>
      </c>
      <c r="I337">
        <v>1709.4461160000001</v>
      </c>
      <c r="J337">
        <v>1006.553884</v>
      </c>
      <c r="K337" s="5">
        <f>IF(Table1[[#This Row],[Revenue]]=0, 0, Table1[[#This Row],[Profit]]/Table1[[#This Row],[Revenue]])</f>
        <v>0.37060157731958765</v>
      </c>
    </row>
    <row r="338" spans="1:11" x14ac:dyDescent="0.35">
      <c r="A338" s="1">
        <v>45572</v>
      </c>
      <c r="B338" s="3" t="s">
        <v>10</v>
      </c>
      <c r="C338" s="3" t="s">
        <v>28</v>
      </c>
      <c r="D338" s="3" t="s">
        <v>25</v>
      </c>
      <c r="E338" s="4">
        <v>2</v>
      </c>
      <c r="F338" s="4">
        <v>609</v>
      </c>
      <c r="G338" s="3" t="s">
        <v>16</v>
      </c>
      <c r="H338">
        <v>1218</v>
      </c>
      <c r="I338">
        <v>962.57227379999995</v>
      </c>
      <c r="J338">
        <v>255.4277262</v>
      </c>
      <c r="K338" s="5">
        <f>IF(Table1[[#This Row],[Revenue]]=0, 0, Table1[[#This Row],[Profit]]/Table1[[#This Row],[Revenue]])</f>
        <v>0.20971077684729064</v>
      </c>
    </row>
    <row r="339" spans="1:11" x14ac:dyDescent="0.35">
      <c r="A339" s="1">
        <v>45514</v>
      </c>
      <c r="B339" s="3" t="s">
        <v>10</v>
      </c>
      <c r="C339" s="3" t="s">
        <v>14</v>
      </c>
      <c r="D339" s="3" t="s">
        <v>29</v>
      </c>
      <c r="E339" s="4">
        <v>6</v>
      </c>
      <c r="F339" s="4">
        <v>1675</v>
      </c>
      <c r="G339" s="3" t="s">
        <v>16</v>
      </c>
      <c r="H339">
        <v>10050</v>
      </c>
      <c r="I339">
        <v>8466.4184260000002</v>
      </c>
      <c r="J339">
        <v>1583.581574</v>
      </c>
      <c r="K339" s="5">
        <f>IF(Table1[[#This Row],[Revenue]]=0, 0, Table1[[#This Row],[Profit]]/Table1[[#This Row],[Revenue]])</f>
        <v>0.15757030587064677</v>
      </c>
    </row>
    <row r="340" spans="1:11" x14ac:dyDescent="0.35">
      <c r="A340" s="1">
        <v>45345</v>
      </c>
      <c r="B340" s="3" t="s">
        <v>27</v>
      </c>
      <c r="C340" s="3" t="s">
        <v>24</v>
      </c>
      <c r="D340" s="3" t="s">
        <v>21</v>
      </c>
      <c r="E340" s="4">
        <v>17</v>
      </c>
      <c r="F340" s="4">
        <v>1923</v>
      </c>
      <c r="G340" s="3" t="s">
        <v>19</v>
      </c>
      <c r="H340">
        <v>32691</v>
      </c>
      <c r="I340">
        <v>27809.33165</v>
      </c>
      <c r="J340">
        <v>4881.6683469999998</v>
      </c>
      <c r="K340" s="5">
        <f>IF(Table1[[#This Row],[Revenue]]=0, 0, Table1[[#This Row],[Profit]]/Table1[[#This Row],[Revenue]])</f>
        <v>0.14932759312960753</v>
      </c>
    </row>
    <row r="341" spans="1:11" x14ac:dyDescent="0.35">
      <c r="A341" s="1">
        <v>45349</v>
      </c>
      <c r="B341" s="3" t="s">
        <v>10</v>
      </c>
      <c r="C341" s="3" t="s">
        <v>17</v>
      </c>
      <c r="D341" s="3" t="s">
        <v>12</v>
      </c>
      <c r="E341" s="4">
        <v>7</v>
      </c>
      <c r="F341" s="4">
        <v>808</v>
      </c>
      <c r="G341" s="3" t="s">
        <v>19</v>
      </c>
      <c r="H341">
        <v>5656</v>
      </c>
      <c r="I341">
        <v>4374.1928390000003</v>
      </c>
      <c r="J341">
        <v>1281.807161</v>
      </c>
      <c r="K341" s="5">
        <f>IF(Table1[[#This Row],[Revenue]]=0, 0, Table1[[#This Row],[Profit]]/Table1[[#This Row],[Revenue]])</f>
        <v>0.22662785731966054</v>
      </c>
    </row>
    <row r="342" spans="1:11" x14ac:dyDescent="0.35">
      <c r="A342" s="1">
        <v>45614</v>
      </c>
      <c r="B342" s="3" t="s">
        <v>27</v>
      </c>
      <c r="C342" s="3" t="s">
        <v>17</v>
      </c>
      <c r="D342" s="3" t="s">
        <v>18</v>
      </c>
      <c r="E342" s="4">
        <v>5</v>
      </c>
      <c r="F342" s="4">
        <v>884</v>
      </c>
      <c r="G342" s="3" t="s">
        <v>19</v>
      </c>
      <c r="H342">
        <v>4420</v>
      </c>
      <c r="I342">
        <v>2675.1990959999998</v>
      </c>
      <c r="J342">
        <v>1744.8009039999999</v>
      </c>
      <c r="K342" s="5">
        <f>IF(Table1[[#This Row],[Revenue]]=0, 0, Table1[[#This Row],[Profit]]/Table1[[#This Row],[Revenue]])</f>
        <v>0.39475133574660631</v>
      </c>
    </row>
    <row r="343" spans="1:11" x14ac:dyDescent="0.35">
      <c r="A343" s="1">
        <v>45651</v>
      </c>
      <c r="B343" s="3" t="s">
        <v>20</v>
      </c>
      <c r="C343" s="3" t="s">
        <v>22</v>
      </c>
      <c r="D343" s="3" t="s">
        <v>12</v>
      </c>
      <c r="E343" s="4">
        <v>5</v>
      </c>
      <c r="F343" s="4">
        <v>993</v>
      </c>
      <c r="G343" s="3" t="s">
        <v>13</v>
      </c>
      <c r="H343">
        <v>4965</v>
      </c>
      <c r="I343">
        <v>4429.3453669999999</v>
      </c>
      <c r="J343">
        <v>535.65463299999999</v>
      </c>
      <c r="K343" s="5">
        <f>IF(Table1[[#This Row],[Revenue]]=0, 0, Table1[[#This Row],[Profit]]/Table1[[#This Row],[Revenue]])</f>
        <v>0.10788612950654582</v>
      </c>
    </row>
    <row r="344" spans="1:11" x14ac:dyDescent="0.35">
      <c r="A344" s="1">
        <v>45465</v>
      </c>
      <c r="B344" s="3" t="s">
        <v>23</v>
      </c>
      <c r="C344" s="3" t="s">
        <v>14</v>
      </c>
      <c r="D344" s="3" t="s">
        <v>25</v>
      </c>
      <c r="E344" s="4">
        <v>16</v>
      </c>
      <c r="F344" s="4">
        <v>875</v>
      </c>
      <c r="G344" s="3" t="s">
        <v>16</v>
      </c>
      <c r="H344">
        <v>14000</v>
      </c>
      <c r="I344">
        <v>10383.22615</v>
      </c>
      <c r="J344">
        <v>3616.7738479999998</v>
      </c>
      <c r="K344" s="5">
        <f>IF(Table1[[#This Row],[Revenue]]=0, 0, Table1[[#This Row],[Profit]]/Table1[[#This Row],[Revenue]])</f>
        <v>0.25834098914285714</v>
      </c>
    </row>
    <row r="345" spans="1:11" x14ac:dyDescent="0.35">
      <c r="A345" s="1">
        <v>45571</v>
      </c>
      <c r="B345" s="3" t="s">
        <v>23</v>
      </c>
      <c r="C345" s="3" t="s">
        <v>24</v>
      </c>
      <c r="D345" s="3" t="s">
        <v>25</v>
      </c>
      <c r="E345" s="4">
        <v>19</v>
      </c>
      <c r="F345" s="4">
        <v>1692</v>
      </c>
      <c r="G345" s="3" t="s">
        <v>19</v>
      </c>
      <c r="H345">
        <v>32148</v>
      </c>
      <c r="I345">
        <v>23084.796249999999</v>
      </c>
      <c r="J345">
        <v>9063.2037479999999</v>
      </c>
      <c r="K345" s="5">
        <f>IF(Table1[[#This Row],[Revenue]]=0, 0, Table1[[#This Row],[Profit]]/Table1[[#This Row],[Revenue]])</f>
        <v>0.28192123142963793</v>
      </c>
    </row>
    <row r="346" spans="1:11" x14ac:dyDescent="0.35">
      <c r="A346" s="1">
        <v>45579</v>
      </c>
      <c r="B346" s="3" t="s">
        <v>27</v>
      </c>
      <c r="C346" s="3" t="s">
        <v>43</v>
      </c>
      <c r="D346" s="3" t="s">
        <v>21</v>
      </c>
      <c r="E346" s="4">
        <v>5</v>
      </c>
      <c r="F346" s="4">
        <v>1733</v>
      </c>
      <c r="G346" s="3" t="s">
        <v>13</v>
      </c>
      <c r="H346">
        <v>8665</v>
      </c>
      <c r="I346">
        <v>6301.5802130000002</v>
      </c>
      <c r="J346">
        <v>2363.4197869999998</v>
      </c>
      <c r="K346" s="5">
        <f>IF(Table1[[#This Row],[Revenue]]=0, 0, Table1[[#This Row],[Profit]]/Table1[[#This Row],[Revenue]])</f>
        <v>0.27275473594922101</v>
      </c>
    </row>
    <row r="347" spans="1:11" x14ac:dyDescent="0.35">
      <c r="A347" s="1">
        <v>45633</v>
      </c>
      <c r="B347" s="3" t="s">
        <v>23</v>
      </c>
      <c r="C347" s="3" t="s">
        <v>14</v>
      </c>
      <c r="D347" s="3" t="s">
        <v>29</v>
      </c>
      <c r="E347" s="4">
        <v>8</v>
      </c>
      <c r="F347" s="4">
        <v>236</v>
      </c>
      <c r="G347" s="3" t="s">
        <v>16</v>
      </c>
      <c r="H347">
        <v>1888</v>
      </c>
      <c r="I347">
        <v>1269.9711589999999</v>
      </c>
      <c r="J347">
        <v>618.02884119999999</v>
      </c>
      <c r="K347" s="5">
        <f>IF(Table1[[#This Row],[Revenue]]=0, 0, Table1[[#This Row],[Profit]]/Table1[[#This Row],[Revenue]])</f>
        <v>0.32734578453389829</v>
      </c>
    </row>
    <row r="348" spans="1:11" x14ac:dyDescent="0.35">
      <c r="A348" s="1">
        <v>45442</v>
      </c>
      <c r="B348" s="3" t="s">
        <v>27</v>
      </c>
      <c r="C348" s="3" t="s">
        <v>17</v>
      </c>
      <c r="D348" s="3" t="s">
        <v>12</v>
      </c>
      <c r="E348" s="4">
        <v>9</v>
      </c>
      <c r="F348" s="4">
        <v>475</v>
      </c>
      <c r="G348" s="3" t="s">
        <v>19</v>
      </c>
      <c r="H348">
        <v>4275</v>
      </c>
      <c r="I348">
        <v>2984.8053749999999</v>
      </c>
      <c r="J348">
        <v>1290.1946250000001</v>
      </c>
      <c r="K348" s="5">
        <f>IF(Table1[[#This Row],[Revenue]]=0, 0, Table1[[#This Row],[Profit]]/Table1[[#This Row],[Revenue]])</f>
        <v>0.3017999122807018</v>
      </c>
    </row>
    <row r="349" spans="1:11" x14ac:dyDescent="0.35">
      <c r="A349" s="1">
        <v>45418</v>
      </c>
      <c r="B349" s="3" t="s">
        <v>27</v>
      </c>
      <c r="C349" s="3" t="s">
        <v>24</v>
      </c>
      <c r="D349" s="3" t="s">
        <v>32</v>
      </c>
      <c r="E349" s="4">
        <v>5</v>
      </c>
      <c r="F349" s="4">
        <v>186</v>
      </c>
      <c r="G349" s="3" t="s">
        <v>19</v>
      </c>
      <c r="H349">
        <v>930</v>
      </c>
      <c r="I349">
        <v>832.91477310000005</v>
      </c>
      <c r="J349">
        <v>97.08522687</v>
      </c>
      <c r="K349" s="5">
        <f>IF(Table1[[#This Row],[Revenue]]=0, 0, Table1[[#This Row],[Profit]]/Table1[[#This Row],[Revenue]])</f>
        <v>0.10439271706451612</v>
      </c>
    </row>
    <row r="350" spans="1:11" x14ac:dyDescent="0.35">
      <c r="A350" s="1">
        <v>45446</v>
      </c>
      <c r="B350" s="3" t="s">
        <v>10</v>
      </c>
      <c r="C350" s="3" t="s">
        <v>17</v>
      </c>
      <c r="D350" s="3" t="s">
        <v>12</v>
      </c>
      <c r="E350" s="4">
        <v>10</v>
      </c>
      <c r="F350" s="4">
        <v>1542</v>
      </c>
      <c r="G350" s="3" t="s">
        <v>19</v>
      </c>
      <c r="H350">
        <v>15420</v>
      </c>
      <c r="I350">
        <v>10955.14517</v>
      </c>
      <c r="J350">
        <v>4464.8548309999996</v>
      </c>
      <c r="K350" s="5">
        <f>IF(Table1[[#This Row],[Revenue]]=0, 0, Table1[[#This Row],[Profit]]/Table1[[#This Row],[Revenue]])</f>
        <v>0.28954959993514912</v>
      </c>
    </row>
    <row r="351" spans="1:11" x14ac:dyDescent="0.35">
      <c r="A351" s="1">
        <v>45564</v>
      </c>
      <c r="B351" s="3" t="s">
        <v>23</v>
      </c>
      <c r="C351" s="3" t="s">
        <v>22</v>
      </c>
      <c r="D351" s="3" t="s">
        <v>15</v>
      </c>
      <c r="E351" s="4">
        <v>2</v>
      </c>
      <c r="F351" s="4">
        <v>1877</v>
      </c>
      <c r="G351" s="3" t="s">
        <v>13</v>
      </c>
      <c r="H351">
        <v>3754</v>
      </c>
      <c r="I351">
        <v>2845.597714</v>
      </c>
      <c r="J351">
        <v>908.40228639999998</v>
      </c>
      <c r="K351" s="5">
        <f>IF(Table1[[#This Row],[Revenue]]=0, 0, Table1[[#This Row],[Profit]]/Table1[[#This Row],[Revenue]])</f>
        <v>0.24198249504528502</v>
      </c>
    </row>
    <row r="352" spans="1:11" x14ac:dyDescent="0.35">
      <c r="A352" s="1">
        <v>45395</v>
      </c>
      <c r="B352" s="3" t="s">
        <v>10</v>
      </c>
      <c r="C352" s="3" t="s">
        <v>24</v>
      </c>
      <c r="D352" s="3" t="s">
        <v>15</v>
      </c>
      <c r="E352" s="4">
        <v>9</v>
      </c>
      <c r="F352" s="4">
        <v>1322</v>
      </c>
      <c r="G352" s="3" t="s">
        <v>19</v>
      </c>
      <c r="H352">
        <v>11898</v>
      </c>
      <c r="I352">
        <v>10166.70155</v>
      </c>
      <c r="J352">
        <v>1731.2984469999999</v>
      </c>
      <c r="K352" s="5">
        <f>IF(Table1[[#This Row],[Revenue]]=0, 0, Table1[[#This Row],[Profit]]/Table1[[#This Row],[Revenue]])</f>
        <v>0.14551172020507647</v>
      </c>
    </row>
    <row r="353" spans="1:11" x14ac:dyDescent="0.35">
      <c r="A353" s="1">
        <v>45590</v>
      </c>
      <c r="B353" s="3" t="s">
        <v>10</v>
      </c>
      <c r="C353" s="3" t="s">
        <v>22</v>
      </c>
      <c r="D353" s="3" t="s">
        <v>29</v>
      </c>
      <c r="E353" s="4">
        <v>11</v>
      </c>
      <c r="F353" s="4">
        <v>1586</v>
      </c>
      <c r="G353" s="3" t="s">
        <v>13</v>
      </c>
      <c r="H353">
        <v>17446</v>
      </c>
      <c r="I353">
        <v>13228.05168</v>
      </c>
      <c r="J353">
        <v>4217.9483220000002</v>
      </c>
      <c r="K353" s="5">
        <f>IF(Table1[[#This Row],[Revenue]]=0, 0, Table1[[#This Row],[Profit]]/Table1[[#This Row],[Revenue]])</f>
        <v>0.24177165665482059</v>
      </c>
    </row>
    <row r="354" spans="1:11" x14ac:dyDescent="0.35">
      <c r="A354" s="1">
        <v>45537</v>
      </c>
      <c r="B354" s="3" t="s">
        <v>23</v>
      </c>
      <c r="C354" s="3" t="s">
        <v>11</v>
      </c>
      <c r="D354" s="3" t="s">
        <v>29</v>
      </c>
      <c r="E354" s="4">
        <v>4</v>
      </c>
      <c r="F354" s="4">
        <v>536</v>
      </c>
      <c r="G354" s="3" t="s">
        <v>13</v>
      </c>
      <c r="H354">
        <v>2144</v>
      </c>
      <c r="I354">
        <v>1495.0884410000001</v>
      </c>
      <c r="J354">
        <v>648.91155920000006</v>
      </c>
      <c r="K354" s="5">
        <f>IF(Table1[[#This Row],[Revenue]]=0, 0, Table1[[#This Row],[Profit]]/Table1[[#This Row],[Revenue]])</f>
        <v>0.30266397350746271</v>
      </c>
    </row>
    <row r="355" spans="1:11" x14ac:dyDescent="0.35">
      <c r="A355" s="1">
        <v>45467</v>
      </c>
      <c r="B355" s="3" t="s">
        <v>23</v>
      </c>
      <c r="C355" s="3" t="s">
        <v>14</v>
      </c>
      <c r="D355" s="3" t="s">
        <v>15</v>
      </c>
      <c r="E355" s="4">
        <v>2</v>
      </c>
      <c r="F355" s="4">
        <v>1433</v>
      </c>
      <c r="G355" s="3" t="s">
        <v>16</v>
      </c>
      <c r="H355">
        <v>2866</v>
      </c>
      <c r="I355">
        <v>2169.9210899999998</v>
      </c>
      <c r="J355">
        <v>696.07890999999995</v>
      </c>
      <c r="K355" s="5">
        <f>IF(Table1[[#This Row],[Revenue]]=0, 0, Table1[[#This Row],[Profit]]/Table1[[#This Row],[Revenue]])</f>
        <v>0.24287470690858337</v>
      </c>
    </row>
    <row r="356" spans="1:11" x14ac:dyDescent="0.35">
      <c r="A356" s="1">
        <v>45330</v>
      </c>
      <c r="B356" s="3" t="s">
        <v>20</v>
      </c>
      <c r="C356" s="3" t="s">
        <v>28</v>
      </c>
      <c r="D356" s="3" t="s">
        <v>32</v>
      </c>
      <c r="E356" s="4">
        <v>6</v>
      </c>
      <c r="F356" s="4">
        <v>1719</v>
      </c>
      <c r="G356" s="3" t="s">
        <v>16</v>
      </c>
      <c r="H356">
        <v>10314</v>
      </c>
      <c r="I356">
        <v>6541.4058619999996</v>
      </c>
      <c r="J356">
        <v>3772.5941379999999</v>
      </c>
      <c r="K356" s="5">
        <f>IF(Table1[[#This Row],[Revenue]]=0, 0, Table1[[#This Row],[Profit]]/Table1[[#This Row],[Revenue]])</f>
        <v>0.36577410684506495</v>
      </c>
    </row>
    <row r="357" spans="1:11" x14ac:dyDescent="0.35">
      <c r="A357" s="1">
        <v>45461</v>
      </c>
      <c r="B357" s="3" t="s">
        <v>20</v>
      </c>
      <c r="C357" s="3" t="s">
        <v>24</v>
      </c>
      <c r="D357" s="3" t="s">
        <v>21</v>
      </c>
      <c r="E357" s="4">
        <v>14</v>
      </c>
      <c r="F357" s="4">
        <v>1877</v>
      </c>
      <c r="G357" s="3" t="s">
        <v>19</v>
      </c>
      <c r="H357">
        <v>26278</v>
      </c>
      <c r="I357">
        <v>16791.696830000001</v>
      </c>
      <c r="J357">
        <v>9486.3031690000007</v>
      </c>
      <c r="K357" s="5">
        <f>IF(Table1[[#This Row],[Revenue]]=0, 0, Table1[[#This Row],[Profit]]/Table1[[#This Row],[Revenue]])</f>
        <v>0.36099791342567933</v>
      </c>
    </row>
    <row r="358" spans="1:11" x14ac:dyDescent="0.35">
      <c r="A358" s="1">
        <v>45538</v>
      </c>
      <c r="B358" s="3" t="s">
        <v>27</v>
      </c>
      <c r="C358" s="3" t="s">
        <v>24</v>
      </c>
      <c r="D358" s="3" t="s">
        <v>15</v>
      </c>
      <c r="E358" s="4">
        <v>1</v>
      </c>
      <c r="F358" s="4">
        <v>1404</v>
      </c>
      <c r="G358" s="3" t="s">
        <v>19</v>
      </c>
      <c r="H358">
        <v>1404</v>
      </c>
      <c r="I358">
        <v>1134.7580929999999</v>
      </c>
      <c r="J358">
        <v>269.2419074</v>
      </c>
      <c r="K358" s="5">
        <f>IF(Table1[[#This Row],[Revenue]]=0, 0, Table1[[#This Row],[Profit]]/Table1[[#This Row],[Revenue]])</f>
        <v>0.19176774031339031</v>
      </c>
    </row>
    <row r="359" spans="1:11" x14ac:dyDescent="0.35">
      <c r="A359" s="1">
        <v>45317</v>
      </c>
      <c r="B359" s="3" t="s">
        <v>23</v>
      </c>
      <c r="C359" s="3" t="s">
        <v>28</v>
      </c>
      <c r="D359" s="3" t="s">
        <v>29</v>
      </c>
      <c r="E359" s="4">
        <v>18</v>
      </c>
      <c r="F359" s="4">
        <v>1446</v>
      </c>
      <c r="G359" s="3" t="s">
        <v>16</v>
      </c>
      <c r="H359">
        <v>26028</v>
      </c>
      <c r="I359">
        <v>22780.699799999999</v>
      </c>
      <c r="J359">
        <v>3247.3002040000001</v>
      </c>
      <c r="K359" s="5">
        <f>IF(Table1[[#This Row],[Revenue]]=0, 0, Table1[[#This Row],[Profit]]/Table1[[#This Row],[Revenue]])</f>
        <v>0.12476180282772399</v>
      </c>
    </row>
    <row r="360" spans="1:11" x14ac:dyDescent="0.35">
      <c r="A360" s="1">
        <v>45646</v>
      </c>
      <c r="B360" s="3" t="s">
        <v>20</v>
      </c>
      <c r="C360" s="3" t="s">
        <v>22</v>
      </c>
      <c r="D360" s="3" t="s">
        <v>30</v>
      </c>
      <c r="E360" s="4">
        <v>7</v>
      </c>
      <c r="F360" s="4">
        <v>863</v>
      </c>
      <c r="G360" s="3" t="s">
        <v>13</v>
      </c>
      <c r="H360">
        <v>6041</v>
      </c>
      <c r="I360">
        <v>4939.7464810000001</v>
      </c>
      <c r="J360">
        <v>1101.2535190000001</v>
      </c>
      <c r="K360" s="5">
        <f>IF(Table1[[#This Row],[Revenue]]=0, 0, Table1[[#This Row],[Profit]]/Table1[[#This Row],[Revenue]])</f>
        <v>0.18229656000662145</v>
      </c>
    </row>
    <row r="361" spans="1:11" x14ac:dyDescent="0.35">
      <c r="A361" s="1">
        <v>45597</v>
      </c>
      <c r="B361" s="3" t="s">
        <v>27</v>
      </c>
      <c r="C361" s="3" t="s">
        <v>11</v>
      </c>
      <c r="D361" s="3" t="s">
        <v>18</v>
      </c>
      <c r="E361" s="4">
        <v>1</v>
      </c>
      <c r="F361" s="4">
        <v>801</v>
      </c>
      <c r="G361" s="3" t="s">
        <v>13</v>
      </c>
      <c r="H361">
        <v>801</v>
      </c>
      <c r="I361">
        <v>498.52956169999999</v>
      </c>
      <c r="J361">
        <v>302.47043830000001</v>
      </c>
      <c r="K361" s="5">
        <f>IF(Table1[[#This Row],[Revenue]]=0, 0, Table1[[#This Row],[Profit]]/Table1[[#This Row],[Revenue]])</f>
        <v>0.37761602784019976</v>
      </c>
    </row>
    <row r="362" spans="1:11" x14ac:dyDescent="0.35">
      <c r="A362" s="1">
        <v>45304</v>
      </c>
      <c r="B362" s="3" t="s">
        <v>27</v>
      </c>
      <c r="C362" s="3" t="s">
        <v>31</v>
      </c>
      <c r="D362" s="3" t="s">
        <v>32</v>
      </c>
      <c r="E362" s="4">
        <v>1</v>
      </c>
      <c r="F362" s="4">
        <v>1041</v>
      </c>
      <c r="G362" s="3" t="s">
        <v>19</v>
      </c>
      <c r="H362">
        <v>1041</v>
      </c>
      <c r="I362">
        <v>750.42429930000003</v>
      </c>
      <c r="J362">
        <v>290.57570070000003</v>
      </c>
      <c r="K362" s="5">
        <f>IF(Table1[[#This Row],[Revenue]]=0, 0, Table1[[#This Row],[Profit]]/Table1[[#This Row],[Revenue]])</f>
        <v>0.27913131671469743</v>
      </c>
    </row>
    <row r="363" spans="1:11" x14ac:dyDescent="0.35">
      <c r="A363" s="1">
        <v>45607</v>
      </c>
      <c r="B363" s="3" t="s">
        <v>27</v>
      </c>
      <c r="C363" s="3" t="s">
        <v>28</v>
      </c>
      <c r="D363" s="3" t="s">
        <v>25</v>
      </c>
      <c r="E363" s="4">
        <v>1</v>
      </c>
      <c r="F363" s="4">
        <v>251</v>
      </c>
      <c r="G363" s="3" t="s">
        <v>16</v>
      </c>
      <c r="H363">
        <v>251</v>
      </c>
      <c r="I363">
        <v>150.79228520000001</v>
      </c>
      <c r="J363">
        <v>100.20771480000001</v>
      </c>
      <c r="K363" s="5">
        <f>IF(Table1[[#This Row],[Revenue]]=0, 0, Table1[[#This Row],[Profit]]/Table1[[#This Row],[Revenue]])</f>
        <v>0.39923392350597614</v>
      </c>
    </row>
    <row r="364" spans="1:11" x14ac:dyDescent="0.35">
      <c r="A364" s="1">
        <v>45604</v>
      </c>
      <c r="B364" s="3" t="s">
        <v>20</v>
      </c>
      <c r="C364" s="3" t="s">
        <v>14</v>
      </c>
      <c r="D364" s="3" t="s">
        <v>32</v>
      </c>
      <c r="E364" s="4">
        <v>4</v>
      </c>
      <c r="F364" s="4">
        <v>1425</v>
      </c>
      <c r="G364" s="3" t="s">
        <v>16</v>
      </c>
      <c r="H364">
        <v>5700</v>
      </c>
      <c r="I364">
        <v>4294.1635310000001</v>
      </c>
      <c r="J364">
        <v>1405.8364690000001</v>
      </c>
      <c r="K364" s="5">
        <f>IF(Table1[[#This Row],[Revenue]]=0, 0, Table1[[#This Row],[Profit]]/Table1[[#This Row],[Revenue]])</f>
        <v>0.24663797701754386</v>
      </c>
    </row>
    <row r="365" spans="1:11" x14ac:dyDescent="0.35">
      <c r="A365" s="1">
        <v>45327</v>
      </c>
      <c r="B365" s="3" t="s">
        <v>23</v>
      </c>
      <c r="C365" s="3" t="s">
        <v>17</v>
      </c>
      <c r="D365" s="3" t="s">
        <v>30</v>
      </c>
      <c r="E365" s="4">
        <v>4</v>
      </c>
      <c r="F365" s="4">
        <v>1401</v>
      </c>
      <c r="G365" s="3" t="s">
        <v>19</v>
      </c>
      <c r="H365">
        <v>5604</v>
      </c>
      <c r="I365">
        <v>3687.2153800000001</v>
      </c>
      <c r="J365">
        <v>1916.7846199999999</v>
      </c>
      <c r="K365" s="5">
        <f>IF(Table1[[#This Row],[Revenue]]=0, 0, Table1[[#This Row],[Profit]]/Table1[[#This Row],[Revenue]])</f>
        <v>0.34203865453247678</v>
      </c>
    </row>
    <row r="366" spans="1:11" x14ac:dyDescent="0.35">
      <c r="A366" s="1">
        <v>45464</v>
      </c>
      <c r="B366" s="3" t="s">
        <v>10</v>
      </c>
      <c r="C366" s="3" t="s">
        <v>35</v>
      </c>
      <c r="D366" s="3" t="s">
        <v>30</v>
      </c>
      <c r="E366" s="4">
        <v>18</v>
      </c>
      <c r="F366" s="4">
        <v>1774</v>
      </c>
      <c r="G366" s="3" t="s">
        <v>13</v>
      </c>
      <c r="H366">
        <v>31932</v>
      </c>
      <c r="I366">
        <v>27475.697639999999</v>
      </c>
      <c r="J366">
        <v>4456.3023640000001</v>
      </c>
      <c r="K366" s="5">
        <f>IF(Table1[[#This Row],[Revenue]]=0, 0, Table1[[#This Row],[Profit]]/Table1[[#This Row],[Revenue]])</f>
        <v>0.13955600538644619</v>
      </c>
    </row>
    <row r="367" spans="1:11" x14ac:dyDescent="0.35">
      <c r="A367" s="1">
        <v>45311</v>
      </c>
      <c r="B367" s="3" t="s">
        <v>27</v>
      </c>
      <c r="C367" s="3" t="s">
        <v>28</v>
      </c>
      <c r="D367" s="3" t="s">
        <v>25</v>
      </c>
      <c r="E367" s="4">
        <v>11</v>
      </c>
      <c r="F367" s="4">
        <v>1811</v>
      </c>
      <c r="G367" s="3" t="s">
        <v>16</v>
      </c>
      <c r="H367">
        <v>19921</v>
      </c>
      <c r="I367">
        <v>12576.137580000001</v>
      </c>
      <c r="J367">
        <v>7344.8624239999999</v>
      </c>
      <c r="K367" s="5">
        <f>IF(Table1[[#This Row],[Revenue]]=0, 0, Table1[[#This Row],[Profit]]/Table1[[#This Row],[Revenue]])</f>
        <v>0.36869948416244164</v>
      </c>
    </row>
    <row r="368" spans="1:11" x14ac:dyDescent="0.35">
      <c r="A368" s="1">
        <v>45612</v>
      </c>
      <c r="B368" s="3" t="s">
        <v>20</v>
      </c>
      <c r="C368" s="3" t="s">
        <v>28</v>
      </c>
      <c r="D368" s="3" t="s">
        <v>12</v>
      </c>
      <c r="E368" s="4">
        <v>1</v>
      </c>
      <c r="F368" s="4">
        <v>1131</v>
      </c>
      <c r="G368" s="3" t="s">
        <v>16</v>
      </c>
      <c r="H368">
        <v>1131</v>
      </c>
      <c r="I368">
        <v>679.08635219999996</v>
      </c>
      <c r="J368">
        <v>451.91364779999998</v>
      </c>
      <c r="K368" s="5">
        <f>IF(Table1[[#This Row],[Revenue]]=0, 0, Table1[[#This Row],[Profit]]/Table1[[#This Row],[Revenue]])</f>
        <v>0.39956998037135277</v>
      </c>
    </row>
    <row r="369" spans="1:11" x14ac:dyDescent="0.35">
      <c r="A369" s="1">
        <v>45555</v>
      </c>
      <c r="B369" s="3" t="s">
        <v>20</v>
      </c>
      <c r="C369" s="3" t="s">
        <v>24</v>
      </c>
      <c r="D369" s="3" t="s">
        <v>29</v>
      </c>
      <c r="E369" s="4">
        <v>10</v>
      </c>
      <c r="F369" s="4">
        <v>906</v>
      </c>
      <c r="G369" s="3" t="s">
        <v>19</v>
      </c>
      <c r="H369">
        <v>9060</v>
      </c>
      <c r="I369">
        <v>6662.2149449999997</v>
      </c>
      <c r="J369">
        <v>2397.7850549999998</v>
      </c>
      <c r="K369" s="5">
        <f>IF(Table1[[#This Row],[Revenue]]=0, 0, Table1[[#This Row],[Profit]]/Table1[[#This Row],[Revenue]])</f>
        <v>0.26465618708609268</v>
      </c>
    </row>
    <row r="370" spans="1:11" x14ac:dyDescent="0.35">
      <c r="A370" s="1">
        <v>45433</v>
      </c>
      <c r="B370" s="3" t="s">
        <v>43</v>
      </c>
      <c r="C370" s="3" t="s">
        <v>43</v>
      </c>
      <c r="D370" s="3" t="s">
        <v>15</v>
      </c>
      <c r="E370" s="4">
        <v>9</v>
      </c>
      <c r="F370" s="4">
        <v>334</v>
      </c>
      <c r="G370" s="3" t="s">
        <v>19</v>
      </c>
      <c r="H370">
        <v>3006</v>
      </c>
      <c r="I370">
        <v>1943.769753</v>
      </c>
      <c r="J370">
        <v>1062.230247</v>
      </c>
      <c r="K370" s="5">
        <f>IF(Table1[[#This Row],[Revenue]]=0, 0, Table1[[#This Row],[Profit]]/Table1[[#This Row],[Revenue]])</f>
        <v>0.35337000898203591</v>
      </c>
    </row>
    <row r="371" spans="1:11" x14ac:dyDescent="0.35">
      <c r="A371" s="1">
        <v>45434</v>
      </c>
      <c r="B371" s="3" t="s">
        <v>10</v>
      </c>
      <c r="C371" s="3" t="s">
        <v>17</v>
      </c>
      <c r="D371" s="3" t="s">
        <v>12</v>
      </c>
      <c r="E371" s="4">
        <v>4</v>
      </c>
      <c r="F371" s="4">
        <v>774</v>
      </c>
      <c r="G371" s="3" t="s">
        <v>19</v>
      </c>
      <c r="H371">
        <v>3096</v>
      </c>
      <c r="I371">
        <v>2543.0417520000001</v>
      </c>
      <c r="J371">
        <v>552.95824809999999</v>
      </c>
      <c r="K371" s="5">
        <f>IF(Table1[[#This Row],[Revenue]]=0, 0, Table1[[#This Row],[Profit]]/Table1[[#This Row],[Revenue]])</f>
        <v>0.17860408530361757</v>
      </c>
    </row>
    <row r="372" spans="1:11" x14ac:dyDescent="0.35">
      <c r="A372" s="1">
        <v>45383</v>
      </c>
      <c r="B372" s="3" t="s">
        <v>20</v>
      </c>
      <c r="C372" s="3" t="s">
        <v>14</v>
      </c>
      <c r="D372" s="3" t="s">
        <v>21</v>
      </c>
      <c r="E372" s="4">
        <v>6</v>
      </c>
      <c r="F372" s="4">
        <v>660</v>
      </c>
      <c r="G372" s="3" t="s">
        <v>16</v>
      </c>
      <c r="H372">
        <v>3960</v>
      </c>
      <c r="I372">
        <v>3468.8824610000001</v>
      </c>
      <c r="J372">
        <v>491.11753859999999</v>
      </c>
      <c r="K372" s="5">
        <f>IF(Table1[[#This Row],[Revenue]]=0, 0, Table1[[#This Row],[Profit]]/Table1[[#This Row],[Revenue]])</f>
        <v>0.12401958045454545</v>
      </c>
    </row>
    <row r="373" spans="1:11" x14ac:dyDescent="0.35">
      <c r="A373" s="1">
        <v>45645</v>
      </c>
      <c r="B373" s="3" t="s">
        <v>23</v>
      </c>
      <c r="C373" s="3" t="s">
        <v>17</v>
      </c>
      <c r="D373" s="3" t="s">
        <v>44</v>
      </c>
      <c r="E373" s="4">
        <v>16</v>
      </c>
      <c r="F373" s="4">
        <v>1425</v>
      </c>
      <c r="G373" s="3" t="s">
        <v>19</v>
      </c>
      <c r="H373">
        <v>22800</v>
      </c>
      <c r="I373">
        <v>13966.856019999999</v>
      </c>
      <c r="J373">
        <v>8833.1439819999996</v>
      </c>
      <c r="K373" s="5">
        <f>IF(Table1[[#This Row],[Revenue]]=0, 0, Table1[[#This Row],[Profit]]/Table1[[#This Row],[Revenue]])</f>
        <v>0.38741859570175435</v>
      </c>
    </row>
    <row r="374" spans="1:11" x14ac:dyDescent="0.35">
      <c r="A374" s="1">
        <v>45613</v>
      </c>
      <c r="B374" s="3" t="s">
        <v>10</v>
      </c>
      <c r="C374" s="3" t="s">
        <v>28</v>
      </c>
      <c r="D374" s="3" t="s">
        <v>25</v>
      </c>
      <c r="E374" s="4">
        <v>2</v>
      </c>
      <c r="F374" s="4">
        <v>137</v>
      </c>
      <c r="G374" s="3" t="s">
        <v>16</v>
      </c>
      <c r="H374">
        <v>274</v>
      </c>
      <c r="I374">
        <v>196.91684960000001</v>
      </c>
      <c r="J374">
        <v>77.083150399999994</v>
      </c>
      <c r="K374" s="5">
        <f>IF(Table1[[#This Row],[Revenue]]=0, 0, Table1[[#This Row],[Profit]]/Table1[[#This Row],[Revenue]])</f>
        <v>0.28132536642335765</v>
      </c>
    </row>
    <row r="375" spans="1:11" x14ac:dyDescent="0.35">
      <c r="A375" s="1">
        <v>45579</v>
      </c>
      <c r="B375" s="3" t="s">
        <v>20</v>
      </c>
      <c r="C375" s="3" t="s">
        <v>31</v>
      </c>
      <c r="D375" s="3" t="s">
        <v>32</v>
      </c>
      <c r="E375" s="4">
        <v>18</v>
      </c>
      <c r="F375" s="4">
        <v>1259</v>
      </c>
      <c r="G375" s="3" t="s">
        <v>19</v>
      </c>
      <c r="H375">
        <v>22662</v>
      </c>
      <c r="I375">
        <v>20374.1463</v>
      </c>
      <c r="J375">
        <v>2287.8537040000001</v>
      </c>
      <c r="K375" s="5">
        <f>IF(Table1[[#This Row],[Revenue]]=0, 0, Table1[[#This Row],[Profit]]/Table1[[#This Row],[Revenue]])</f>
        <v>0.10095550719265732</v>
      </c>
    </row>
    <row r="376" spans="1:11" x14ac:dyDescent="0.35">
      <c r="A376" s="1">
        <v>45506</v>
      </c>
      <c r="B376" s="3" t="s">
        <v>10</v>
      </c>
      <c r="C376" s="3" t="s">
        <v>26</v>
      </c>
      <c r="D376" s="3" t="s">
        <v>12</v>
      </c>
      <c r="E376" s="4">
        <v>10</v>
      </c>
      <c r="F376" s="4">
        <v>921</v>
      </c>
      <c r="G376" s="3" t="s">
        <v>19</v>
      </c>
      <c r="H376">
        <v>9210</v>
      </c>
      <c r="I376">
        <v>7550.3726530000004</v>
      </c>
      <c r="J376">
        <v>1659.6273470000001</v>
      </c>
      <c r="K376" s="5">
        <f>IF(Table1[[#This Row],[Revenue]]=0, 0, Table1[[#This Row],[Profit]]/Table1[[#This Row],[Revenue]])</f>
        <v>0.18019840901194356</v>
      </c>
    </row>
    <row r="377" spans="1:11" x14ac:dyDescent="0.35">
      <c r="A377" s="1">
        <v>45633</v>
      </c>
      <c r="B377" s="3" t="s">
        <v>23</v>
      </c>
      <c r="C377" s="3" t="s">
        <v>22</v>
      </c>
      <c r="D377" s="3" t="s">
        <v>30</v>
      </c>
      <c r="E377" s="4">
        <v>17</v>
      </c>
      <c r="F377" s="4">
        <v>520</v>
      </c>
      <c r="G377" s="3" t="s">
        <v>13</v>
      </c>
      <c r="H377">
        <v>8840</v>
      </c>
      <c r="I377">
        <v>7831.853631</v>
      </c>
      <c r="J377">
        <v>1008.146369</v>
      </c>
      <c r="K377" s="5">
        <f>IF(Table1[[#This Row],[Revenue]]=0, 0, Table1[[#This Row],[Profit]]/Table1[[#This Row],[Revenue]])</f>
        <v>0.1140437069004525</v>
      </c>
    </row>
    <row r="378" spans="1:11" x14ac:dyDescent="0.35">
      <c r="A378" s="1">
        <v>45342</v>
      </c>
      <c r="B378" s="3" t="s">
        <v>27</v>
      </c>
      <c r="C378" s="3" t="s">
        <v>26</v>
      </c>
      <c r="D378" s="3" t="s">
        <v>15</v>
      </c>
      <c r="E378" s="4">
        <v>13</v>
      </c>
      <c r="F378" s="4">
        <v>1342</v>
      </c>
      <c r="G378" s="3" t="s">
        <v>19</v>
      </c>
      <c r="H378">
        <v>17446</v>
      </c>
      <c r="I378">
        <v>11326.3791</v>
      </c>
      <c r="J378">
        <v>6119.6209019999997</v>
      </c>
      <c r="K378" s="5">
        <f>IF(Table1[[#This Row],[Revenue]]=0, 0, Table1[[#This Row],[Profit]]/Table1[[#This Row],[Revenue]])</f>
        <v>0.35077501444457182</v>
      </c>
    </row>
    <row r="379" spans="1:11" x14ac:dyDescent="0.35">
      <c r="A379" s="1">
        <v>45444</v>
      </c>
      <c r="B379" s="3" t="s">
        <v>10</v>
      </c>
      <c r="C379" s="3" t="s">
        <v>28</v>
      </c>
      <c r="D379" s="3" t="s">
        <v>32</v>
      </c>
      <c r="E379" s="4">
        <v>18</v>
      </c>
      <c r="F379" s="4">
        <v>447</v>
      </c>
      <c r="G379" s="3" t="s">
        <v>16</v>
      </c>
      <c r="H379">
        <v>8046</v>
      </c>
      <c r="I379">
        <v>5361.939429</v>
      </c>
      <c r="J379">
        <v>2684.060571</v>
      </c>
      <c r="K379" s="5">
        <f>IF(Table1[[#This Row],[Revenue]]=0, 0, Table1[[#This Row],[Profit]]/Table1[[#This Row],[Revenue]])</f>
        <v>0.33358943214019388</v>
      </c>
    </row>
    <row r="380" spans="1:11" x14ac:dyDescent="0.35">
      <c r="A380" s="1">
        <v>45477</v>
      </c>
      <c r="B380" s="3" t="s">
        <v>43</v>
      </c>
      <c r="C380" s="3" t="s">
        <v>26</v>
      </c>
      <c r="D380" s="3" t="s">
        <v>21</v>
      </c>
      <c r="E380" s="4">
        <v>13</v>
      </c>
      <c r="F380" s="4">
        <v>1931</v>
      </c>
      <c r="G380" s="3" t="s">
        <v>19</v>
      </c>
      <c r="H380">
        <v>25103</v>
      </c>
      <c r="I380">
        <v>16227.66797</v>
      </c>
      <c r="J380">
        <v>8875.3320280000007</v>
      </c>
      <c r="K380" s="5">
        <f>IF(Table1[[#This Row],[Revenue]]=0, 0, Table1[[#This Row],[Profit]]/Table1[[#This Row],[Revenue]])</f>
        <v>0.3535566278134088</v>
      </c>
    </row>
    <row r="381" spans="1:11" x14ac:dyDescent="0.35">
      <c r="A381" s="1">
        <v>45354</v>
      </c>
      <c r="B381" s="3" t="s">
        <v>20</v>
      </c>
      <c r="C381" s="3" t="s">
        <v>28</v>
      </c>
      <c r="D381" s="3" t="s">
        <v>30</v>
      </c>
      <c r="E381" s="4">
        <v>17</v>
      </c>
      <c r="F381" s="4">
        <v>1669</v>
      </c>
      <c r="G381" s="3" t="s">
        <v>16</v>
      </c>
      <c r="H381">
        <v>28373</v>
      </c>
      <c r="I381">
        <v>19597.53498</v>
      </c>
      <c r="J381">
        <v>8775.465021</v>
      </c>
      <c r="K381" s="5">
        <f>IF(Table1[[#This Row],[Revenue]]=0, 0, Table1[[#This Row],[Profit]]/Table1[[#This Row],[Revenue]])</f>
        <v>0.30928928985302928</v>
      </c>
    </row>
    <row r="382" spans="1:11" x14ac:dyDescent="0.35">
      <c r="A382" s="1">
        <v>45481</v>
      </c>
      <c r="B382" s="3" t="s">
        <v>10</v>
      </c>
      <c r="C382" s="3" t="s">
        <v>26</v>
      </c>
      <c r="D382" s="3" t="s">
        <v>21</v>
      </c>
      <c r="E382" s="4">
        <v>5</v>
      </c>
      <c r="F382" s="4">
        <v>1987</v>
      </c>
      <c r="G382" s="3" t="s">
        <v>19</v>
      </c>
      <c r="H382">
        <v>9935</v>
      </c>
      <c r="I382">
        <v>8120.0267160000003</v>
      </c>
      <c r="J382">
        <v>1814.9732839999999</v>
      </c>
      <c r="K382" s="5">
        <f>IF(Table1[[#This Row],[Revenue]]=0, 0, Table1[[#This Row],[Profit]]/Table1[[#This Row],[Revenue]])</f>
        <v>0.18268477946653244</v>
      </c>
    </row>
    <row r="383" spans="1:11" x14ac:dyDescent="0.35">
      <c r="A383" s="1">
        <v>45416</v>
      </c>
      <c r="B383" s="3" t="s">
        <v>10</v>
      </c>
      <c r="C383" s="3" t="s">
        <v>17</v>
      </c>
      <c r="D383" s="3" t="s">
        <v>15</v>
      </c>
      <c r="E383" s="4">
        <v>11</v>
      </c>
      <c r="F383" s="4">
        <v>1202</v>
      </c>
      <c r="G383" s="3" t="s">
        <v>19</v>
      </c>
      <c r="H383">
        <v>13222</v>
      </c>
      <c r="I383">
        <v>8587.4774249999991</v>
      </c>
      <c r="J383">
        <v>4634.522575</v>
      </c>
      <c r="K383" s="5">
        <f>IF(Table1[[#This Row],[Revenue]]=0, 0, Table1[[#This Row],[Profit]]/Table1[[#This Row],[Revenue]])</f>
        <v>0.35051600173952502</v>
      </c>
    </row>
    <row r="384" spans="1:11" x14ac:dyDescent="0.35">
      <c r="A384" s="1">
        <v>45441</v>
      </c>
      <c r="B384" s="3" t="s">
        <v>20</v>
      </c>
      <c r="C384" s="3" t="s">
        <v>11</v>
      </c>
      <c r="D384" s="3" t="s">
        <v>32</v>
      </c>
      <c r="E384" s="4">
        <v>7</v>
      </c>
      <c r="F384" s="4">
        <v>847</v>
      </c>
      <c r="G384" s="3" t="s">
        <v>13</v>
      </c>
      <c r="H384">
        <v>5929</v>
      </c>
      <c r="I384">
        <v>4489.8550830000004</v>
      </c>
      <c r="J384">
        <v>1439.1449170000001</v>
      </c>
      <c r="K384" s="5">
        <f>IF(Table1[[#This Row],[Revenue]]=0, 0, Table1[[#This Row],[Profit]]/Table1[[#This Row],[Revenue]])</f>
        <v>0.24272978866587958</v>
      </c>
    </row>
    <row r="385" spans="1:11" x14ac:dyDescent="0.35">
      <c r="A385" s="1">
        <v>45605</v>
      </c>
      <c r="B385" s="3" t="s">
        <v>27</v>
      </c>
      <c r="C385" s="3" t="s">
        <v>17</v>
      </c>
      <c r="D385" s="3" t="s">
        <v>18</v>
      </c>
      <c r="E385" s="4">
        <v>10</v>
      </c>
      <c r="F385" s="4">
        <v>372</v>
      </c>
      <c r="G385" s="3" t="s">
        <v>19</v>
      </c>
      <c r="H385">
        <v>3720</v>
      </c>
      <c r="I385">
        <v>2532.4382700000001</v>
      </c>
      <c r="J385">
        <v>1187.5617299999999</v>
      </c>
      <c r="K385" s="5">
        <f>IF(Table1[[#This Row],[Revenue]]=0, 0, Table1[[#This Row],[Profit]]/Table1[[#This Row],[Revenue]])</f>
        <v>0.31923702419354838</v>
      </c>
    </row>
    <row r="386" spans="1:11" x14ac:dyDescent="0.35">
      <c r="A386" s="1">
        <v>45349</v>
      </c>
      <c r="B386" s="3" t="s">
        <v>20</v>
      </c>
      <c r="C386" s="3" t="s">
        <v>17</v>
      </c>
      <c r="D386" s="3" t="s">
        <v>12</v>
      </c>
      <c r="E386" s="4">
        <v>17</v>
      </c>
      <c r="F386" s="4">
        <v>1284</v>
      </c>
      <c r="G386" s="3" t="s">
        <v>19</v>
      </c>
      <c r="H386">
        <v>21828</v>
      </c>
      <c r="I386">
        <v>18526.70564</v>
      </c>
      <c r="J386">
        <v>3301.2943599999999</v>
      </c>
      <c r="K386" s="5">
        <f>IF(Table1[[#This Row],[Revenue]]=0, 0, Table1[[#This Row],[Profit]]/Table1[[#This Row],[Revenue]])</f>
        <v>0.15124126626351475</v>
      </c>
    </row>
    <row r="387" spans="1:11" x14ac:dyDescent="0.35">
      <c r="A387" s="1">
        <v>45596</v>
      </c>
      <c r="B387" s="3" t="s">
        <v>20</v>
      </c>
      <c r="C387" s="3" t="s">
        <v>24</v>
      </c>
      <c r="D387" s="3" t="s">
        <v>12</v>
      </c>
      <c r="E387" s="4">
        <v>18</v>
      </c>
      <c r="F387" s="4">
        <v>407</v>
      </c>
      <c r="G387" s="3" t="s">
        <v>19</v>
      </c>
      <c r="H387">
        <v>7326</v>
      </c>
      <c r="I387">
        <v>4885.9620560000003</v>
      </c>
      <c r="J387">
        <v>2440.0379440000002</v>
      </c>
      <c r="K387" s="5">
        <f>IF(Table1[[#This Row],[Revenue]]=0, 0, Table1[[#This Row],[Profit]]/Table1[[#This Row],[Revenue]])</f>
        <v>0.33306551242151244</v>
      </c>
    </row>
    <row r="388" spans="1:11" x14ac:dyDescent="0.35">
      <c r="A388" s="1">
        <v>45471</v>
      </c>
      <c r="B388" s="3" t="s">
        <v>23</v>
      </c>
      <c r="C388" s="3" t="s">
        <v>24</v>
      </c>
      <c r="D388" s="3" t="s">
        <v>15</v>
      </c>
      <c r="E388" s="4">
        <v>19</v>
      </c>
      <c r="F388" s="4">
        <v>1497</v>
      </c>
      <c r="G388" s="3" t="s">
        <v>19</v>
      </c>
      <c r="H388">
        <v>28443</v>
      </c>
      <c r="I388">
        <v>22230.258860000002</v>
      </c>
      <c r="J388">
        <v>6212.7411400000001</v>
      </c>
      <c r="K388" s="5">
        <f>IF(Table1[[#This Row],[Revenue]]=0, 0, Table1[[#This Row],[Profit]]/Table1[[#This Row],[Revenue]])</f>
        <v>0.21842777273845937</v>
      </c>
    </row>
    <row r="389" spans="1:11" x14ac:dyDescent="0.35">
      <c r="A389" s="1">
        <v>45461</v>
      </c>
      <c r="B389" s="3" t="s">
        <v>20</v>
      </c>
      <c r="C389" s="3" t="s">
        <v>26</v>
      </c>
      <c r="D389" s="3" t="s">
        <v>32</v>
      </c>
      <c r="E389" s="4">
        <v>2</v>
      </c>
      <c r="F389" s="4">
        <v>1075</v>
      </c>
      <c r="G389" s="3" t="s">
        <v>19</v>
      </c>
      <c r="H389">
        <v>2150</v>
      </c>
      <c r="I389">
        <v>1352.3782739999999</v>
      </c>
      <c r="J389">
        <v>797.62172620000001</v>
      </c>
      <c r="K389" s="5">
        <f>IF(Table1[[#This Row],[Revenue]]=0, 0, Table1[[#This Row],[Profit]]/Table1[[#This Row],[Revenue]])</f>
        <v>0.37098684939534882</v>
      </c>
    </row>
    <row r="390" spans="1:11" x14ac:dyDescent="0.35">
      <c r="A390" s="1">
        <v>45617</v>
      </c>
      <c r="B390" s="3" t="s">
        <v>10</v>
      </c>
      <c r="C390" s="3" t="s">
        <v>28</v>
      </c>
      <c r="D390" s="3" t="s">
        <v>12</v>
      </c>
      <c r="E390" s="4">
        <v>4</v>
      </c>
      <c r="F390" s="4">
        <v>832</v>
      </c>
      <c r="G390" s="3" t="s">
        <v>16</v>
      </c>
      <c r="H390">
        <v>3328</v>
      </c>
      <c r="I390">
        <v>2462.3661160000001</v>
      </c>
      <c r="J390">
        <v>865.63388359999999</v>
      </c>
      <c r="K390" s="5">
        <f>IF(Table1[[#This Row],[Revenue]]=0, 0, Table1[[#This Row],[Profit]]/Table1[[#This Row],[Revenue]])</f>
        <v>0.26010633521634613</v>
      </c>
    </row>
    <row r="391" spans="1:11" x14ac:dyDescent="0.35">
      <c r="A391" s="1">
        <v>45562</v>
      </c>
      <c r="B391" s="3" t="s">
        <v>20</v>
      </c>
      <c r="C391" s="3" t="s">
        <v>14</v>
      </c>
      <c r="D391" s="3" t="s">
        <v>25</v>
      </c>
      <c r="E391" s="4">
        <v>3</v>
      </c>
      <c r="F391" s="4">
        <v>1132</v>
      </c>
      <c r="G391" s="3" t="s">
        <v>16</v>
      </c>
      <c r="H391">
        <v>3396</v>
      </c>
      <c r="I391">
        <v>2482.0079940000001</v>
      </c>
      <c r="J391">
        <v>913.99200629999996</v>
      </c>
      <c r="K391" s="5">
        <f>IF(Table1[[#This Row],[Revenue]]=0, 0, Table1[[#This Row],[Profit]]/Table1[[#This Row],[Revenue]])</f>
        <v>0.26913781104240281</v>
      </c>
    </row>
    <row r="392" spans="1:11" x14ac:dyDescent="0.35">
      <c r="A392" s="1">
        <v>45345</v>
      </c>
      <c r="B392" s="3" t="s">
        <v>27</v>
      </c>
      <c r="C392" s="3" t="s">
        <v>17</v>
      </c>
      <c r="D392" s="3" t="s">
        <v>12</v>
      </c>
      <c r="E392" s="4">
        <v>7</v>
      </c>
      <c r="F392" s="4">
        <v>1924</v>
      </c>
      <c r="G392" s="3" t="s">
        <v>19</v>
      </c>
      <c r="H392">
        <v>13468</v>
      </c>
      <c r="I392">
        <v>11525.33396</v>
      </c>
      <c r="J392">
        <v>1942.6660429999999</v>
      </c>
      <c r="K392" s="5">
        <f>IF(Table1[[#This Row],[Revenue]]=0, 0, Table1[[#This Row],[Profit]]/Table1[[#This Row],[Revenue]])</f>
        <v>0.14424309793584794</v>
      </c>
    </row>
    <row r="393" spans="1:11" x14ac:dyDescent="0.35">
      <c r="A393" s="1">
        <v>45392</v>
      </c>
      <c r="B393" s="3" t="s">
        <v>20</v>
      </c>
      <c r="C393" s="3" t="s">
        <v>14</v>
      </c>
      <c r="D393" s="3" t="s">
        <v>32</v>
      </c>
      <c r="E393" s="4">
        <v>18</v>
      </c>
      <c r="F393" s="4">
        <v>543</v>
      </c>
      <c r="G393" s="3" t="s">
        <v>16</v>
      </c>
      <c r="H393">
        <v>9774</v>
      </c>
      <c r="I393">
        <v>7698.1896500000003</v>
      </c>
      <c r="J393">
        <v>2075.8103500000002</v>
      </c>
      <c r="K393" s="5">
        <f>IF(Table1[[#This Row],[Revenue]]=0, 0, Table1[[#This Row],[Profit]]/Table1[[#This Row],[Revenue]])</f>
        <v>0.2123808420298752</v>
      </c>
    </row>
    <row r="394" spans="1:11" x14ac:dyDescent="0.35">
      <c r="A394" s="1">
        <v>45555</v>
      </c>
      <c r="B394" s="3" t="s">
        <v>27</v>
      </c>
      <c r="C394" s="3" t="s">
        <v>26</v>
      </c>
      <c r="D394" s="3" t="s">
        <v>29</v>
      </c>
      <c r="E394" s="4">
        <v>10</v>
      </c>
      <c r="F394" s="4">
        <v>1236</v>
      </c>
      <c r="G394" s="3" t="s">
        <v>19</v>
      </c>
      <c r="H394">
        <v>12360</v>
      </c>
      <c r="I394">
        <v>9788.0152460000008</v>
      </c>
      <c r="J394">
        <v>2571.9847540000001</v>
      </c>
      <c r="K394" s="5">
        <f>IF(Table1[[#This Row],[Revenue]]=0, 0, Table1[[#This Row],[Profit]]/Table1[[#This Row],[Revenue]])</f>
        <v>0.20808938139158575</v>
      </c>
    </row>
    <row r="395" spans="1:11" x14ac:dyDescent="0.35">
      <c r="A395" s="1">
        <v>45344</v>
      </c>
      <c r="B395" s="3" t="s">
        <v>23</v>
      </c>
      <c r="C395" s="3" t="s">
        <v>24</v>
      </c>
      <c r="D395" s="3" t="s">
        <v>32</v>
      </c>
      <c r="E395" s="4">
        <v>7</v>
      </c>
      <c r="F395" s="4">
        <v>1328</v>
      </c>
      <c r="G395" s="3" t="s">
        <v>19</v>
      </c>
      <c r="H395">
        <v>9296</v>
      </c>
      <c r="I395">
        <v>8232.0010399999992</v>
      </c>
      <c r="J395">
        <v>1063.9989599999999</v>
      </c>
      <c r="K395" s="5">
        <f>IF(Table1[[#This Row],[Revenue]]=0, 0, Table1[[#This Row],[Profit]]/Table1[[#This Row],[Revenue]])</f>
        <v>0.11445771944922546</v>
      </c>
    </row>
    <row r="396" spans="1:11" x14ac:dyDescent="0.35">
      <c r="A396" s="1">
        <v>45351</v>
      </c>
      <c r="B396" s="3" t="s">
        <v>27</v>
      </c>
      <c r="C396" s="3" t="s">
        <v>11</v>
      </c>
      <c r="D396" s="3" t="s">
        <v>32</v>
      </c>
      <c r="E396" s="4">
        <v>8</v>
      </c>
      <c r="F396" s="4">
        <v>504</v>
      </c>
      <c r="G396" s="3" t="s">
        <v>13</v>
      </c>
      <c r="H396">
        <v>4032</v>
      </c>
      <c r="I396">
        <v>3607.4631100000001</v>
      </c>
      <c r="J396">
        <v>424.53689000000003</v>
      </c>
      <c r="K396" s="5">
        <f>IF(Table1[[#This Row],[Revenue]]=0, 0, Table1[[#This Row],[Profit]]/Table1[[#This Row],[Revenue]])</f>
        <v>0.10529188740079366</v>
      </c>
    </row>
    <row r="397" spans="1:11" x14ac:dyDescent="0.35">
      <c r="A397" s="1">
        <v>45399</v>
      </c>
      <c r="B397" s="3" t="s">
        <v>20</v>
      </c>
      <c r="C397" s="3" t="s">
        <v>22</v>
      </c>
      <c r="D397" s="3" t="s">
        <v>12</v>
      </c>
      <c r="E397" s="4">
        <v>6</v>
      </c>
      <c r="F397" s="4">
        <v>1821</v>
      </c>
      <c r="G397" s="3" t="s">
        <v>13</v>
      </c>
      <c r="H397">
        <v>10926</v>
      </c>
      <c r="I397">
        <v>8697.2972530000006</v>
      </c>
      <c r="J397">
        <v>2228.7027469999998</v>
      </c>
      <c r="K397" s="5">
        <f>IF(Table1[[#This Row],[Revenue]]=0, 0, Table1[[#This Row],[Profit]]/Table1[[#This Row],[Revenue]])</f>
        <v>0.2039815803587772</v>
      </c>
    </row>
    <row r="398" spans="1:11" x14ac:dyDescent="0.35">
      <c r="A398" s="1">
        <v>45296</v>
      </c>
      <c r="B398" s="3" t="s">
        <v>10</v>
      </c>
      <c r="C398" s="3" t="s">
        <v>26</v>
      </c>
      <c r="D398" s="3" t="s">
        <v>21</v>
      </c>
      <c r="E398" s="4">
        <v>1</v>
      </c>
      <c r="F398" s="4">
        <v>952</v>
      </c>
      <c r="G398" s="3" t="s">
        <v>19</v>
      </c>
      <c r="H398">
        <v>952</v>
      </c>
      <c r="I398">
        <v>720.28361419999999</v>
      </c>
      <c r="J398">
        <v>231.71638580000001</v>
      </c>
      <c r="K398" s="5">
        <f>IF(Table1[[#This Row],[Revenue]]=0, 0, Table1[[#This Row],[Profit]]/Table1[[#This Row],[Revenue]])</f>
        <v>0.2433995649159664</v>
      </c>
    </row>
    <row r="399" spans="1:11" x14ac:dyDescent="0.35">
      <c r="A399" s="1">
        <v>45394</v>
      </c>
      <c r="B399" s="3" t="s">
        <v>27</v>
      </c>
      <c r="C399" s="3" t="s">
        <v>14</v>
      </c>
      <c r="D399" s="3" t="s">
        <v>18</v>
      </c>
      <c r="E399" s="4">
        <v>4</v>
      </c>
      <c r="F399" s="4">
        <v>1320</v>
      </c>
      <c r="G399" s="3" t="s">
        <v>16</v>
      </c>
      <c r="H399">
        <v>5280</v>
      </c>
      <c r="I399">
        <v>4130.9453729999996</v>
      </c>
      <c r="J399">
        <v>1149.054627</v>
      </c>
      <c r="K399" s="5">
        <f>IF(Table1[[#This Row],[Revenue]]=0, 0, Table1[[#This Row],[Profit]]/Table1[[#This Row],[Revenue]])</f>
        <v>0.21762398238636363</v>
      </c>
    </row>
    <row r="400" spans="1:11" x14ac:dyDescent="0.35">
      <c r="A400" s="1">
        <v>45487</v>
      </c>
      <c r="B400" s="3" t="s">
        <v>23</v>
      </c>
      <c r="C400" s="3" t="s">
        <v>11</v>
      </c>
      <c r="D400" s="3" t="s">
        <v>21</v>
      </c>
      <c r="E400" s="4">
        <v>14</v>
      </c>
      <c r="F400" s="4">
        <v>877</v>
      </c>
      <c r="G400" s="3" t="s">
        <v>13</v>
      </c>
      <c r="H400">
        <v>12278</v>
      </c>
      <c r="I400">
        <v>8775.4931429999997</v>
      </c>
      <c r="J400">
        <v>3502.5068569999999</v>
      </c>
      <c r="K400" s="5">
        <f>IF(Table1[[#This Row],[Revenue]]=0, 0, Table1[[#This Row],[Profit]]/Table1[[#This Row],[Revenue]])</f>
        <v>0.28526688849975562</v>
      </c>
    </row>
    <row r="401" spans="1:11" x14ac:dyDescent="0.35">
      <c r="A401" s="1">
        <v>45553</v>
      </c>
      <c r="B401" s="3" t="s">
        <v>27</v>
      </c>
      <c r="C401" s="3" t="s">
        <v>22</v>
      </c>
      <c r="D401" s="3" t="s">
        <v>12</v>
      </c>
      <c r="E401" s="4">
        <v>17</v>
      </c>
      <c r="F401" s="4">
        <v>1897</v>
      </c>
      <c r="G401" s="3" t="s">
        <v>13</v>
      </c>
      <c r="H401">
        <v>32249</v>
      </c>
      <c r="I401">
        <v>28902.74653</v>
      </c>
      <c r="J401">
        <v>3346.2534679999999</v>
      </c>
      <c r="K401" s="5">
        <f>IF(Table1[[#This Row],[Revenue]]=0, 0, Table1[[#This Row],[Profit]]/Table1[[#This Row],[Revenue]])</f>
        <v>0.10376301491519116</v>
      </c>
    </row>
    <row r="402" spans="1:11" x14ac:dyDescent="0.35">
      <c r="A402" s="1">
        <v>45656</v>
      </c>
      <c r="B402" s="3" t="s">
        <v>27</v>
      </c>
      <c r="C402" s="3" t="s">
        <v>31</v>
      </c>
      <c r="D402" s="3" t="s">
        <v>21</v>
      </c>
      <c r="E402" s="4">
        <v>18</v>
      </c>
      <c r="F402" s="4">
        <v>1883</v>
      </c>
      <c r="G402" s="3" t="s">
        <v>19</v>
      </c>
      <c r="H402">
        <v>33894</v>
      </c>
      <c r="I402">
        <v>27505.197169999999</v>
      </c>
      <c r="J402">
        <v>6388.8028290000002</v>
      </c>
      <c r="K402" s="5">
        <f>IF(Table1[[#This Row],[Revenue]]=0, 0, Table1[[#This Row],[Profit]]/Table1[[#This Row],[Revenue]])</f>
        <v>0.18849362214551249</v>
      </c>
    </row>
    <row r="403" spans="1:11" x14ac:dyDescent="0.35">
      <c r="A403" s="1">
        <v>45641</v>
      </c>
      <c r="B403" s="3" t="s">
        <v>27</v>
      </c>
      <c r="C403" s="3" t="s">
        <v>26</v>
      </c>
      <c r="D403" s="3" t="s">
        <v>30</v>
      </c>
      <c r="E403" s="4">
        <v>11</v>
      </c>
      <c r="F403" s="4">
        <v>214</v>
      </c>
      <c r="G403" s="3" t="s">
        <v>19</v>
      </c>
      <c r="H403">
        <v>2354</v>
      </c>
      <c r="I403">
        <v>1617.9089980000001</v>
      </c>
      <c r="J403">
        <v>736.09100179999996</v>
      </c>
      <c r="K403" s="5">
        <f>IF(Table1[[#This Row],[Revenue]]=0, 0, Table1[[#This Row],[Profit]]/Table1[[#This Row],[Revenue]])</f>
        <v>0.31269796168224295</v>
      </c>
    </row>
    <row r="404" spans="1:11" x14ac:dyDescent="0.35">
      <c r="A404" s="1">
        <v>45338</v>
      </c>
      <c r="B404" s="3" t="s">
        <v>23</v>
      </c>
      <c r="C404" s="3" t="s">
        <v>26</v>
      </c>
      <c r="D404" s="3" t="s">
        <v>29</v>
      </c>
      <c r="E404" s="4">
        <v>14</v>
      </c>
      <c r="F404" s="4">
        <v>1244</v>
      </c>
      <c r="G404" s="3" t="s">
        <v>19</v>
      </c>
      <c r="H404">
        <v>17416</v>
      </c>
      <c r="I404">
        <v>10751.417359999999</v>
      </c>
      <c r="J404">
        <v>6664.582641</v>
      </c>
      <c r="K404" s="5">
        <f>IF(Table1[[#This Row],[Revenue]]=0, 0, Table1[[#This Row],[Profit]]/Table1[[#This Row],[Revenue]])</f>
        <v>0.38267011030087278</v>
      </c>
    </row>
    <row r="405" spans="1:11" x14ac:dyDescent="0.35">
      <c r="A405" s="1">
        <v>45646</v>
      </c>
      <c r="B405" s="3" t="s">
        <v>20</v>
      </c>
      <c r="C405" s="3" t="s">
        <v>31</v>
      </c>
      <c r="D405" s="3" t="s">
        <v>21</v>
      </c>
      <c r="E405" s="4">
        <v>9</v>
      </c>
      <c r="F405" s="4">
        <v>1776</v>
      </c>
      <c r="G405" s="3" t="s">
        <v>19</v>
      </c>
      <c r="H405">
        <v>15984</v>
      </c>
      <c r="I405">
        <v>9804.8505949999999</v>
      </c>
      <c r="J405">
        <v>6179.1494050000001</v>
      </c>
      <c r="K405" s="5">
        <f>IF(Table1[[#This Row],[Revenue]]=0, 0, Table1[[#This Row],[Profit]]/Table1[[#This Row],[Revenue]])</f>
        <v>0.38658342123373374</v>
      </c>
    </row>
    <row r="406" spans="1:11" x14ac:dyDescent="0.35">
      <c r="A406" s="1">
        <v>45602</v>
      </c>
      <c r="B406" s="3" t="s">
        <v>27</v>
      </c>
      <c r="C406" s="3" t="s">
        <v>31</v>
      </c>
      <c r="D406" s="3" t="s">
        <v>25</v>
      </c>
      <c r="E406" s="4">
        <v>15</v>
      </c>
      <c r="F406" s="4">
        <v>164</v>
      </c>
      <c r="G406" s="3" t="s">
        <v>19</v>
      </c>
      <c r="H406">
        <v>2460</v>
      </c>
      <c r="I406">
        <v>1627.22578</v>
      </c>
      <c r="J406">
        <v>832.77422039999999</v>
      </c>
      <c r="K406" s="5">
        <f>IF(Table1[[#This Row],[Revenue]]=0, 0, Table1[[#This Row],[Profit]]/Table1[[#This Row],[Revenue]])</f>
        <v>0.33852610585365855</v>
      </c>
    </row>
    <row r="407" spans="1:11" x14ac:dyDescent="0.35">
      <c r="A407" s="1">
        <v>45599</v>
      </c>
      <c r="B407" s="3" t="s">
        <v>27</v>
      </c>
      <c r="C407" s="3" t="s">
        <v>26</v>
      </c>
      <c r="D407" s="3" t="s">
        <v>15</v>
      </c>
      <c r="E407" s="4">
        <v>12</v>
      </c>
      <c r="F407" s="4">
        <v>1399</v>
      </c>
      <c r="G407" s="3" t="s">
        <v>19</v>
      </c>
      <c r="H407">
        <v>16788</v>
      </c>
      <c r="I407">
        <v>11245.84331</v>
      </c>
      <c r="J407">
        <v>5542.1566940000002</v>
      </c>
      <c r="K407" s="5">
        <f>IF(Table1[[#This Row],[Revenue]]=0, 0, Table1[[#This Row],[Profit]]/Table1[[#This Row],[Revenue]])</f>
        <v>0.33012608375029784</v>
      </c>
    </row>
    <row r="408" spans="1:11" x14ac:dyDescent="0.35">
      <c r="A408" s="1">
        <v>45435</v>
      </c>
      <c r="B408" s="3" t="s">
        <v>10</v>
      </c>
      <c r="C408" s="3" t="s">
        <v>31</v>
      </c>
      <c r="D408" s="3" t="s">
        <v>25</v>
      </c>
      <c r="E408" s="4">
        <v>10</v>
      </c>
      <c r="F408" s="4">
        <v>924</v>
      </c>
      <c r="G408" s="3" t="s">
        <v>19</v>
      </c>
      <c r="H408">
        <v>9240</v>
      </c>
      <c r="I408">
        <v>6694.5061089999999</v>
      </c>
      <c r="J408">
        <v>2545.4938910000001</v>
      </c>
      <c r="K408" s="5">
        <f>IF(Table1[[#This Row],[Revenue]]=0, 0, Table1[[#This Row],[Profit]]/Table1[[#This Row],[Revenue]])</f>
        <v>0.27548635183982684</v>
      </c>
    </row>
    <row r="409" spans="1:11" x14ac:dyDescent="0.35">
      <c r="A409" s="1">
        <v>45560</v>
      </c>
      <c r="B409" s="3" t="s">
        <v>23</v>
      </c>
      <c r="C409" s="3" t="s">
        <v>17</v>
      </c>
      <c r="D409" s="3" t="s">
        <v>15</v>
      </c>
      <c r="E409" s="4">
        <v>19</v>
      </c>
      <c r="F409" s="4">
        <v>338</v>
      </c>
      <c r="G409" s="3" t="s">
        <v>19</v>
      </c>
      <c r="H409">
        <v>6422</v>
      </c>
      <c r="I409">
        <v>4267.1223259999997</v>
      </c>
      <c r="J409">
        <v>2154.8776739999998</v>
      </c>
      <c r="K409" s="5">
        <f>IF(Table1[[#This Row],[Revenue]]=0, 0, Table1[[#This Row],[Profit]]/Table1[[#This Row],[Revenue]])</f>
        <v>0.33554619651199002</v>
      </c>
    </row>
    <row r="410" spans="1:11" x14ac:dyDescent="0.35">
      <c r="A410" s="1">
        <v>45415</v>
      </c>
      <c r="B410" s="3" t="s">
        <v>27</v>
      </c>
      <c r="C410" s="3" t="s">
        <v>22</v>
      </c>
      <c r="D410" s="3" t="s">
        <v>44</v>
      </c>
      <c r="E410" s="4">
        <v>19</v>
      </c>
      <c r="F410" s="4">
        <v>401</v>
      </c>
      <c r="G410" s="3" t="s">
        <v>13</v>
      </c>
      <c r="H410">
        <v>7619</v>
      </c>
      <c r="I410">
        <v>6013.4719720000003</v>
      </c>
      <c r="J410">
        <v>1605.5280279999999</v>
      </c>
      <c r="K410" s="5">
        <f>IF(Table1[[#This Row],[Revenue]]=0, 0, Table1[[#This Row],[Profit]]/Table1[[#This Row],[Revenue]])</f>
        <v>0.21072687071794199</v>
      </c>
    </row>
    <row r="411" spans="1:11" x14ac:dyDescent="0.35">
      <c r="A411" s="1">
        <v>45449</v>
      </c>
      <c r="B411" s="3" t="s">
        <v>27</v>
      </c>
      <c r="C411" s="3" t="s">
        <v>22</v>
      </c>
      <c r="D411" s="3" t="s">
        <v>29</v>
      </c>
      <c r="E411" s="4">
        <v>6</v>
      </c>
      <c r="F411" s="4">
        <v>1645</v>
      </c>
      <c r="G411" s="3" t="s">
        <v>13</v>
      </c>
      <c r="H411">
        <v>9870</v>
      </c>
      <c r="I411">
        <v>6478.3024320000004</v>
      </c>
      <c r="J411">
        <v>3391.697568</v>
      </c>
      <c r="K411" s="5">
        <f>IF(Table1[[#This Row],[Revenue]]=0, 0, Table1[[#This Row],[Profit]]/Table1[[#This Row],[Revenue]])</f>
        <v>0.34363703829787234</v>
      </c>
    </row>
    <row r="412" spans="1:11" x14ac:dyDescent="0.35">
      <c r="A412" s="1">
        <v>45438</v>
      </c>
      <c r="B412" s="3" t="s">
        <v>20</v>
      </c>
      <c r="C412" s="3" t="s">
        <v>17</v>
      </c>
      <c r="D412" s="3" t="s">
        <v>25</v>
      </c>
      <c r="E412" s="4">
        <v>8</v>
      </c>
      <c r="F412" s="4">
        <v>1068</v>
      </c>
      <c r="G412" s="3" t="s">
        <v>19</v>
      </c>
      <c r="H412">
        <v>8544</v>
      </c>
      <c r="I412">
        <v>6334.27466</v>
      </c>
      <c r="J412">
        <v>2209.72534</v>
      </c>
      <c r="K412" s="5">
        <f>IF(Table1[[#This Row],[Revenue]]=0, 0, Table1[[#This Row],[Profit]]/Table1[[#This Row],[Revenue]])</f>
        <v>0.25862890215355805</v>
      </c>
    </row>
    <row r="413" spans="1:11" x14ac:dyDescent="0.35">
      <c r="A413" s="1">
        <v>45436</v>
      </c>
      <c r="B413" s="3" t="s">
        <v>20</v>
      </c>
      <c r="C413" s="3" t="s">
        <v>28</v>
      </c>
      <c r="D413" s="3" t="s">
        <v>29</v>
      </c>
      <c r="E413" s="4">
        <v>1</v>
      </c>
      <c r="F413" s="4">
        <v>468</v>
      </c>
      <c r="G413" s="3" t="s">
        <v>16</v>
      </c>
      <c r="H413">
        <v>468</v>
      </c>
      <c r="I413">
        <v>405.56907130000002</v>
      </c>
      <c r="J413">
        <v>62.430928649999998</v>
      </c>
      <c r="K413" s="5">
        <f>IF(Table1[[#This Row],[Revenue]]=0, 0, Table1[[#This Row],[Profit]]/Table1[[#This Row],[Revenue]])</f>
        <v>0.13339942019230769</v>
      </c>
    </row>
    <row r="414" spans="1:11" x14ac:dyDescent="0.35">
      <c r="A414" s="1">
        <v>45411</v>
      </c>
      <c r="B414" s="3" t="s">
        <v>27</v>
      </c>
      <c r="C414" s="3" t="s">
        <v>31</v>
      </c>
      <c r="D414" s="3" t="s">
        <v>25</v>
      </c>
      <c r="E414" s="4">
        <v>17</v>
      </c>
      <c r="F414" s="4">
        <v>332</v>
      </c>
      <c r="G414" s="3" t="s">
        <v>19</v>
      </c>
      <c r="H414">
        <v>5644</v>
      </c>
      <c r="I414">
        <v>4179.3348509999996</v>
      </c>
      <c r="J414">
        <v>1464.6651489999999</v>
      </c>
      <c r="K414" s="5">
        <f>IF(Table1[[#This Row],[Revenue]]=0, 0, Table1[[#This Row],[Profit]]/Table1[[#This Row],[Revenue]])</f>
        <v>0.25950835382707299</v>
      </c>
    </row>
    <row r="415" spans="1:11" x14ac:dyDescent="0.35">
      <c r="A415" s="1">
        <v>45610</v>
      </c>
      <c r="B415" s="3" t="s">
        <v>20</v>
      </c>
      <c r="C415" s="3" t="s">
        <v>11</v>
      </c>
      <c r="D415" s="3" t="s">
        <v>32</v>
      </c>
      <c r="E415" s="4">
        <v>17</v>
      </c>
      <c r="F415" s="4">
        <v>294</v>
      </c>
      <c r="G415" s="3" t="s">
        <v>13</v>
      </c>
      <c r="H415">
        <v>4998</v>
      </c>
      <c r="I415">
        <v>3619.3248079999998</v>
      </c>
      <c r="J415">
        <v>1378.6751919999999</v>
      </c>
      <c r="K415" s="5">
        <f>IF(Table1[[#This Row],[Revenue]]=0, 0, Table1[[#This Row],[Profit]]/Table1[[#This Row],[Revenue]])</f>
        <v>0.27584537655062025</v>
      </c>
    </row>
    <row r="416" spans="1:11" x14ac:dyDescent="0.35">
      <c r="A416" s="1">
        <v>45566</v>
      </c>
      <c r="B416" s="3" t="s">
        <v>27</v>
      </c>
      <c r="C416" s="3" t="s">
        <v>31</v>
      </c>
      <c r="D416" s="3" t="s">
        <v>15</v>
      </c>
      <c r="E416" s="4">
        <v>15</v>
      </c>
      <c r="F416" s="4">
        <v>1006</v>
      </c>
      <c r="G416" s="3" t="s">
        <v>19</v>
      </c>
      <c r="H416">
        <v>15090</v>
      </c>
      <c r="I416">
        <v>11671.03565</v>
      </c>
      <c r="J416">
        <v>3418.9643540000002</v>
      </c>
      <c r="K416" s="5">
        <f>IF(Table1[[#This Row],[Revenue]]=0, 0, Table1[[#This Row],[Profit]]/Table1[[#This Row],[Revenue]])</f>
        <v>0.22657152776673295</v>
      </c>
    </row>
    <row r="417" spans="1:11" x14ac:dyDescent="0.35">
      <c r="A417" s="1">
        <v>45383</v>
      </c>
      <c r="B417" s="3" t="s">
        <v>20</v>
      </c>
      <c r="C417" s="3" t="s">
        <v>26</v>
      </c>
      <c r="D417" s="3" t="s">
        <v>18</v>
      </c>
      <c r="E417" s="4">
        <v>7</v>
      </c>
      <c r="F417" s="4">
        <v>1135</v>
      </c>
      <c r="G417" s="3" t="s">
        <v>19</v>
      </c>
      <c r="H417">
        <v>7945</v>
      </c>
      <c r="I417">
        <v>5380.0688030000001</v>
      </c>
      <c r="J417">
        <v>2564.9311969999999</v>
      </c>
      <c r="K417" s="5">
        <f>IF(Table1[[#This Row],[Revenue]]=0, 0, Table1[[#This Row],[Profit]]/Table1[[#This Row],[Revenue]])</f>
        <v>0.32283589641283827</v>
      </c>
    </row>
    <row r="418" spans="1:11" x14ac:dyDescent="0.35">
      <c r="A418" s="1">
        <v>45349</v>
      </c>
      <c r="B418" s="3" t="s">
        <v>10</v>
      </c>
      <c r="C418" s="3" t="s">
        <v>24</v>
      </c>
      <c r="D418" s="3" t="s">
        <v>30</v>
      </c>
      <c r="E418" s="4">
        <v>19</v>
      </c>
      <c r="F418" s="4">
        <v>1020</v>
      </c>
      <c r="G418" s="3" t="s">
        <v>19</v>
      </c>
      <c r="H418">
        <v>19380</v>
      </c>
      <c r="I418">
        <v>13682.88013</v>
      </c>
      <c r="J418">
        <v>5697.1198720000002</v>
      </c>
      <c r="K418" s="5">
        <f>IF(Table1[[#This Row],[Revenue]]=0, 0, Table1[[#This Row],[Profit]]/Table1[[#This Row],[Revenue]])</f>
        <v>0.29396903364293087</v>
      </c>
    </row>
    <row r="419" spans="1:11" x14ac:dyDescent="0.35">
      <c r="A419" s="1">
        <v>45637</v>
      </c>
      <c r="B419" s="3" t="s">
        <v>10</v>
      </c>
      <c r="C419" s="3" t="s">
        <v>14</v>
      </c>
      <c r="D419" s="3" t="s">
        <v>25</v>
      </c>
      <c r="E419" s="4">
        <v>3</v>
      </c>
      <c r="F419" s="4">
        <v>788</v>
      </c>
      <c r="G419" s="3" t="s">
        <v>16</v>
      </c>
      <c r="H419">
        <v>2364</v>
      </c>
      <c r="I419">
        <v>1570.0519629999999</v>
      </c>
      <c r="J419">
        <v>793.94803669999999</v>
      </c>
      <c r="K419" s="5">
        <f>IF(Table1[[#This Row],[Revenue]]=0, 0, Table1[[#This Row],[Profit]]/Table1[[#This Row],[Revenue]])</f>
        <v>0.33584942330795264</v>
      </c>
    </row>
    <row r="420" spans="1:11" x14ac:dyDescent="0.35">
      <c r="A420" s="1">
        <v>45408</v>
      </c>
      <c r="B420" s="3" t="s">
        <v>23</v>
      </c>
      <c r="C420" s="3" t="s">
        <v>22</v>
      </c>
      <c r="D420" s="3" t="s">
        <v>32</v>
      </c>
      <c r="E420" s="4">
        <v>19</v>
      </c>
      <c r="F420" s="4">
        <v>316</v>
      </c>
      <c r="G420" s="3" t="s">
        <v>13</v>
      </c>
      <c r="H420">
        <v>6004</v>
      </c>
      <c r="I420">
        <v>4858.5344759999998</v>
      </c>
      <c r="J420">
        <v>1145.465524</v>
      </c>
      <c r="K420" s="5">
        <f>IF(Table1[[#This Row],[Revenue]]=0, 0, Table1[[#This Row],[Profit]]/Table1[[#This Row],[Revenue]])</f>
        <v>0.19078373151232511</v>
      </c>
    </row>
    <row r="421" spans="1:11" x14ac:dyDescent="0.35">
      <c r="A421" s="1">
        <v>45570</v>
      </c>
      <c r="B421" s="3" t="s">
        <v>10</v>
      </c>
      <c r="C421" s="3" t="s">
        <v>11</v>
      </c>
      <c r="D421" s="3" t="s">
        <v>15</v>
      </c>
      <c r="E421" s="4">
        <v>10</v>
      </c>
      <c r="F421" s="4">
        <v>1569</v>
      </c>
      <c r="G421" s="3" t="s">
        <v>13</v>
      </c>
      <c r="H421">
        <v>15690</v>
      </c>
      <c r="I421">
        <v>10613.427470000001</v>
      </c>
      <c r="J421">
        <v>5076.5725309999998</v>
      </c>
      <c r="K421" s="5">
        <f>IF(Table1[[#This Row],[Revenue]]=0, 0, Table1[[#This Row],[Profit]]/Table1[[#This Row],[Revenue]])</f>
        <v>0.32355465462077754</v>
      </c>
    </row>
    <row r="422" spans="1:11" x14ac:dyDescent="0.35">
      <c r="A422" s="1">
        <v>45418</v>
      </c>
      <c r="B422" s="3" t="s">
        <v>23</v>
      </c>
      <c r="C422" s="3" t="s">
        <v>26</v>
      </c>
      <c r="D422" s="3" t="s">
        <v>15</v>
      </c>
      <c r="E422" s="4">
        <v>2</v>
      </c>
      <c r="F422" s="4">
        <v>729</v>
      </c>
      <c r="G422" s="3" t="s">
        <v>19</v>
      </c>
      <c r="H422">
        <v>1458</v>
      </c>
      <c r="I422">
        <v>1215.818125</v>
      </c>
      <c r="J422">
        <v>242.1818748</v>
      </c>
      <c r="K422" s="5">
        <f>IF(Table1[[#This Row],[Revenue]]=0, 0, Table1[[#This Row],[Profit]]/Table1[[#This Row],[Revenue]])</f>
        <v>0.16610553827160493</v>
      </c>
    </row>
    <row r="423" spans="1:11" x14ac:dyDescent="0.35">
      <c r="A423" s="1">
        <v>45349</v>
      </c>
      <c r="B423" s="3" t="s">
        <v>27</v>
      </c>
      <c r="C423" s="3" t="s">
        <v>28</v>
      </c>
      <c r="D423" s="3" t="s">
        <v>18</v>
      </c>
      <c r="E423" s="4">
        <v>16</v>
      </c>
      <c r="F423" s="4">
        <v>1674</v>
      </c>
      <c r="G423" s="3" t="s">
        <v>16</v>
      </c>
      <c r="H423">
        <v>26784</v>
      </c>
      <c r="I423">
        <v>17278.183379999999</v>
      </c>
      <c r="J423">
        <v>9505.8166230000006</v>
      </c>
      <c r="K423" s="5">
        <f>IF(Table1[[#This Row],[Revenue]]=0, 0, Table1[[#This Row],[Profit]]/Table1[[#This Row],[Revenue]])</f>
        <v>0.3549065346102151</v>
      </c>
    </row>
    <row r="424" spans="1:11" x14ac:dyDescent="0.35">
      <c r="A424" s="1">
        <v>45413</v>
      </c>
      <c r="B424" s="3" t="s">
        <v>27</v>
      </c>
      <c r="C424" s="3" t="s">
        <v>17</v>
      </c>
      <c r="D424" s="3" t="s">
        <v>18</v>
      </c>
      <c r="E424" s="4">
        <v>18</v>
      </c>
      <c r="F424" s="4">
        <v>152</v>
      </c>
      <c r="G424" s="3" t="s">
        <v>19</v>
      </c>
      <c r="H424">
        <v>2736</v>
      </c>
      <c r="I424">
        <v>1928.723021</v>
      </c>
      <c r="J424">
        <v>807.27697909999995</v>
      </c>
      <c r="K424" s="5">
        <f>IF(Table1[[#This Row],[Revenue]]=0, 0, Table1[[#This Row],[Profit]]/Table1[[#This Row],[Revenue]])</f>
        <v>0.29505737540204674</v>
      </c>
    </row>
    <row r="425" spans="1:11" x14ac:dyDescent="0.35">
      <c r="A425" s="1">
        <v>45530</v>
      </c>
      <c r="B425" s="3" t="s">
        <v>10</v>
      </c>
      <c r="C425" s="3" t="s">
        <v>26</v>
      </c>
      <c r="D425" s="3" t="s">
        <v>30</v>
      </c>
      <c r="E425" s="4">
        <v>6</v>
      </c>
      <c r="F425" s="4">
        <v>1841</v>
      </c>
      <c r="G425" s="3" t="s">
        <v>19</v>
      </c>
      <c r="H425">
        <v>11046</v>
      </c>
      <c r="I425">
        <v>7098.1656270000003</v>
      </c>
      <c r="J425">
        <v>3947.8343730000001</v>
      </c>
      <c r="K425" s="5">
        <f>IF(Table1[[#This Row],[Revenue]]=0, 0, Table1[[#This Row],[Profit]]/Table1[[#This Row],[Revenue]])</f>
        <v>0.3573994543726236</v>
      </c>
    </row>
    <row r="426" spans="1:11" x14ac:dyDescent="0.35">
      <c r="A426" s="1">
        <v>45581</v>
      </c>
      <c r="B426" s="3" t="s">
        <v>23</v>
      </c>
      <c r="C426" s="3" t="s">
        <v>22</v>
      </c>
      <c r="D426" s="3" t="s">
        <v>30</v>
      </c>
      <c r="E426" s="4">
        <v>14</v>
      </c>
      <c r="F426" s="4">
        <v>1098</v>
      </c>
      <c r="G426" s="3" t="s">
        <v>13</v>
      </c>
      <c r="H426">
        <v>15372</v>
      </c>
      <c r="I426">
        <v>12211.918530000001</v>
      </c>
      <c r="J426">
        <v>3160.0814740000001</v>
      </c>
      <c r="K426" s="5">
        <f>IF(Table1[[#This Row],[Revenue]]=0, 0, Table1[[#This Row],[Profit]]/Table1[[#This Row],[Revenue]])</f>
        <v>0.20557386638043196</v>
      </c>
    </row>
    <row r="427" spans="1:11" x14ac:dyDescent="0.35">
      <c r="A427" s="1">
        <v>45387</v>
      </c>
      <c r="B427" s="3" t="s">
        <v>20</v>
      </c>
      <c r="C427" s="3" t="s">
        <v>31</v>
      </c>
      <c r="D427" s="3" t="s">
        <v>15</v>
      </c>
      <c r="E427" s="4">
        <v>15</v>
      </c>
      <c r="F427" s="4">
        <v>923</v>
      </c>
      <c r="G427" s="3" t="s">
        <v>19</v>
      </c>
      <c r="H427">
        <v>13845</v>
      </c>
      <c r="I427">
        <v>11891.752920000001</v>
      </c>
      <c r="J427">
        <v>1953.2470780000001</v>
      </c>
      <c r="K427" s="5">
        <f>IF(Table1[[#This Row],[Revenue]]=0, 0, Table1[[#This Row],[Profit]]/Table1[[#This Row],[Revenue]])</f>
        <v>0.14107960115565188</v>
      </c>
    </row>
    <row r="428" spans="1:11" x14ac:dyDescent="0.35">
      <c r="A428" s="1">
        <v>45417</v>
      </c>
      <c r="B428" s="3" t="s">
        <v>20</v>
      </c>
      <c r="C428" s="3" t="s">
        <v>26</v>
      </c>
      <c r="D428" s="3" t="s">
        <v>29</v>
      </c>
      <c r="E428" s="4">
        <v>14</v>
      </c>
      <c r="F428" s="4">
        <v>1483</v>
      </c>
      <c r="G428" s="3" t="s">
        <v>19</v>
      </c>
      <c r="H428">
        <v>20762</v>
      </c>
      <c r="I428">
        <v>14283.054980000001</v>
      </c>
      <c r="J428">
        <v>6478.9450180000003</v>
      </c>
      <c r="K428" s="5">
        <f>IF(Table1[[#This Row],[Revenue]]=0, 0, Table1[[#This Row],[Profit]]/Table1[[#This Row],[Revenue]])</f>
        <v>0.31205784693189481</v>
      </c>
    </row>
    <row r="429" spans="1:11" x14ac:dyDescent="0.35">
      <c r="A429" s="1">
        <v>45409</v>
      </c>
      <c r="B429" s="3" t="s">
        <v>10</v>
      </c>
      <c r="C429" s="3" t="s">
        <v>14</v>
      </c>
      <c r="D429" s="3" t="s">
        <v>32</v>
      </c>
      <c r="E429" s="4">
        <v>3</v>
      </c>
      <c r="F429" s="4">
        <v>484</v>
      </c>
      <c r="G429" s="3" t="s">
        <v>16</v>
      </c>
      <c r="H429">
        <v>1452</v>
      </c>
      <c r="I429">
        <v>1067.3100019999999</v>
      </c>
      <c r="J429">
        <v>384.689998</v>
      </c>
      <c r="K429" s="5">
        <f>IF(Table1[[#This Row],[Revenue]]=0, 0, Table1[[#This Row],[Profit]]/Table1[[#This Row],[Revenue]])</f>
        <v>0.26493801515151516</v>
      </c>
    </row>
    <row r="430" spans="1:11" x14ac:dyDescent="0.35">
      <c r="A430" s="1">
        <v>45339</v>
      </c>
      <c r="B430" s="3" t="s">
        <v>20</v>
      </c>
      <c r="C430" s="3" t="s">
        <v>28</v>
      </c>
      <c r="D430" s="3" t="s">
        <v>30</v>
      </c>
      <c r="E430" s="4">
        <v>19</v>
      </c>
      <c r="F430" s="4">
        <v>155</v>
      </c>
      <c r="G430" s="3" t="s">
        <v>16</v>
      </c>
      <c r="H430">
        <v>2945</v>
      </c>
      <c r="I430">
        <v>1968.7122609999999</v>
      </c>
      <c r="J430">
        <v>976.28773899999999</v>
      </c>
      <c r="K430" s="5">
        <f>IF(Table1[[#This Row],[Revenue]]=0, 0, Table1[[#This Row],[Profit]]/Table1[[#This Row],[Revenue]])</f>
        <v>0.33150687232597625</v>
      </c>
    </row>
    <row r="431" spans="1:11" x14ac:dyDescent="0.35">
      <c r="A431" s="1">
        <v>45380</v>
      </c>
      <c r="B431" s="3" t="s">
        <v>20</v>
      </c>
      <c r="C431" s="3" t="s">
        <v>17</v>
      </c>
      <c r="D431" s="3" t="s">
        <v>29</v>
      </c>
      <c r="E431" s="4">
        <v>12</v>
      </c>
      <c r="F431" s="4">
        <v>217</v>
      </c>
      <c r="G431" s="3" t="s">
        <v>19</v>
      </c>
      <c r="H431">
        <v>2604</v>
      </c>
      <c r="I431">
        <v>1844.617663</v>
      </c>
      <c r="J431">
        <v>759.38233730000002</v>
      </c>
      <c r="K431" s="5">
        <f>IF(Table1[[#This Row],[Revenue]]=0, 0, Table1[[#This Row],[Profit]]/Table1[[#This Row],[Revenue]])</f>
        <v>0.29162148129800308</v>
      </c>
    </row>
    <row r="432" spans="1:11" x14ac:dyDescent="0.35">
      <c r="A432" s="1">
        <v>45528</v>
      </c>
      <c r="B432" s="3" t="s">
        <v>20</v>
      </c>
      <c r="C432" s="3" t="s">
        <v>28</v>
      </c>
      <c r="D432" s="3" t="s">
        <v>29</v>
      </c>
      <c r="E432" s="4">
        <v>2</v>
      </c>
      <c r="F432" s="4">
        <v>999</v>
      </c>
      <c r="G432" s="3" t="s">
        <v>16</v>
      </c>
      <c r="H432">
        <v>1998</v>
      </c>
      <c r="I432">
        <v>1211.9691600000001</v>
      </c>
      <c r="J432">
        <v>786.03083990000005</v>
      </c>
      <c r="K432" s="5">
        <f>IF(Table1[[#This Row],[Revenue]]=0, 0, Table1[[#This Row],[Profit]]/Table1[[#This Row],[Revenue]])</f>
        <v>0.39340882877877881</v>
      </c>
    </row>
    <row r="433" spans="1:11" x14ac:dyDescent="0.35">
      <c r="A433" s="1">
        <v>45563</v>
      </c>
      <c r="B433" s="3" t="s">
        <v>20</v>
      </c>
      <c r="C433" s="3" t="s">
        <v>28</v>
      </c>
      <c r="D433" s="3" t="s">
        <v>25</v>
      </c>
      <c r="E433" s="4">
        <v>3</v>
      </c>
      <c r="F433" s="4">
        <v>1376</v>
      </c>
      <c r="G433" s="3" t="s">
        <v>16</v>
      </c>
      <c r="H433">
        <v>4128</v>
      </c>
      <c r="I433">
        <v>3657.9480199999998</v>
      </c>
      <c r="J433">
        <v>470.0519797</v>
      </c>
      <c r="K433" s="5">
        <f>IF(Table1[[#This Row],[Revenue]]=0, 0, Table1[[#This Row],[Profit]]/Table1[[#This Row],[Revenue]])</f>
        <v>0.11386918112887597</v>
      </c>
    </row>
    <row r="434" spans="1:11" x14ac:dyDescent="0.35">
      <c r="A434" s="1">
        <v>45480</v>
      </c>
      <c r="B434" s="3" t="s">
        <v>23</v>
      </c>
      <c r="C434" s="3" t="s">
        <v>11</v>
      </c>
      <c r="D434" s="3" t="s">
        <v>15</v>
      </c>
      <c r="E434" s="4">
        <v>18</v>
      </c>
      <c r="F434" s="4">
        <v>897</v>
      </c>
      <c r="G434" s="3" t="s">
        <v>13</v>
      </c>
      <c r="H434">
        <v>16146</v>
      </c>
      <c r="I434">
        <v>11702.08901</v>
      </c>
      <c r="J434">
        <v>4443.9109850000004</v>
      </c>
      <c r="K434" s="5">
        <f>IF(Table1[[#This Row],[Revenue]]=0, 0, Table1[[#This Row],[Profit]]/Table1[[#This Row],[Revenue]])</f>
        <v>0.27523293602130561</v>
      </c>
    </row>
    <row r="435" spans="1:11" x14ac:dyDescent="0.35">
      <c r="A435" s="1">
        <v>45483</v>
      </c>
      <c r="B435" s="3" t="s">
        <v>20</v>
      </c>
      <c r="C435" s="3" t="s">
        <v>11</v>
      </c>
      <c r="D435" s="3" t="s">
        <v>29</v>
      </c>
      <c r="E435" s="4">
        <v>1</v>
      </c>
      <c r="F435" s="4">
        <v>879</v>
      </c>
      <c r="G435" s="3" t="s">
        <v>13</v>
      </c>
      <c r="H435">
        <v>879</v>
      </c>
      <c r="I435">
        <v>735.42504799999995</v>
      </c>
      <c r="J435">
        <v>143.574952</v>
      </c>
      <c r="K435" s="5">
        <f>IF(Table1[[#This Row],[Revenue]]=0, 0, Table1[[#This Row],[Profit]]/Table1[[#This Row],[Revenue]])</f>
        <v>0.1633389670079636</v>
      </c>
    </row>
    <row r="436" spans="1:11" x14ac:dyDescent="0.35">
      <c r="A436" s="1">
        <v>45360</v>
      </c>
      <c r="B436" s="3" t="s">
        <v>27</v>
      </c>
      <c r="C436" s="3" t="s">
        <v>31</v>
      </c>
      <c r="D436" s="3" t="s">
        <v>12</v>
      </c>
      <c r="E436" s="4">
        <v>6</v>
      </c>
      <c r="F436" s="4">
        <v>1115</v>
      </c>
      <c r="G436" s="3" t="s">
        <v>19</v>
      </c>
      <c r="H436">
        <v>6690</v>
      </c>
      <c r="I436">
        <v>4300.2853789999999</v>
      </c>
      <c r="J436">
        <v>2389.7146210000001</v>
      </c>
      <c r="K436" s="5">
        <f>IF(Table1[[#This Row],[Revenue]]=0, 0, Table1[[#This Row],[Profit]]/Table1[[#This Row],[Revenue]])</f>
        <v>0.35720696875934232</v>
      </c>
    </row>
    <row r="437" spans="1:11" x14ac:dyDescent="0.35">
      <c r="A437" s="1">
        <v>45640</v>
      </c>
      <c r="B437" s="3" t="s">
        <v>23</v>
      </c>
      <c r="C437" s="3" t="s">
        <v>11</v>
      </c>
      <c r="D437" s="3" t="s">
        <v>12</v>
      </c>
      <c r="E437" s="4">
        <v>1</v>
      </c>
      <c r="F437" s="4">
        <v>944</v>
      </c>
      <c r="G437" s="3" t="s">
        <v>13</v>
      </c>
      <c r="H437">
        <v>944</v>
      </c>
      <c r="I437">
        <v>809.9937185</v>
      </c>
      <c r="J437">
        <v>134.0062815</v>
      </c>
      <c r="K437" s="5">
        <f>IF(Table1[[#This Row],[Revenue]]=0, 0, Table1[[#This Row],[Profit]]/Table1[[#This Row],[Revenue]])</f>
        <v>0.14195580667372881</v>
      </c>
    </row>
    <row r="438" spans="1:11" x14ac:dyDescent="0.35">
      <c r="A438" s="1">
        <v>45538</v>
      </c>
      <c r="B438" s="3" t="s">
        <v>20</v>
      </c>
      <c r="C438" s="3" t="s">
        <v>26</v>
      </c>
      <c r="D438" s="3" t="s">
        <v>18</v>
      </c>
      <c r="E438" s="4">
        <v>19</v>
      </c>
      <c r="F438" s="4">
        <v>1303</v>
      </c>
      <c r="G438" s="3" t="s">
        <v>19</v>
      </c>
      <c r="H438">
        <v>24757</v>
      </c>
      <c r="I438">
        <v>20168.120180000002</v>
      </c>
      <c r="J438">
        <v>4588.8798180000003</v>
      </c>
      <c r="K438" s="5">
        <f>IF(Table1[[#This Row],[Revenue]]=0, 0, Table1[[#This Row],[Profit]]/Table1[[#This Row],[Revenue]])</f>
        <v>0.18535686141293373</v>
      </c>
    </row>
    <row r="439" spans="1:11" x14ac:dyDescent="0.35">
      <c r="A439" s="1">
        <v>45367</v>
      </c>
      <c r="B439" s="3" t="s">
        <v>23</v>
      </c>
      <c r="C439" s="3" t="s">
        <v>14</v>
      </c>
      <c r="D439" s="3" t="s">
        <v>21</v>
      </c>
      <c r="E439" s="4">
        <v>1</v>
      </c>
      <c r="F439" s="4">
        <v>1538</v>
      </c>
      <c r="G439" s="3" t="s">
        <v>16</v>
      </c>
      <c r="H439">
        <v>1538</v>
      </c>
      <c r="I439">
        <v>1339.5403209999999</v>
      </c>
      <c r="J439">
        <v>198.4596789</v>
      </c>
      <c r="K439" s="5">
        <f>IF(Table1[[#This Row],[Revenue]]=0, 0, Table1[[#This Row],[Profit]]/Table1[[#This Row],[Revenue]])</f>
        <v>0.12903750253576074</v>
      </c>
    </row>
    <row r="440" spans="1:11" x14ac:dyDescent="0.35">
      <c r="A440" s="1">
        <v>45445</v>
      </c>
      <c r="B440" s="3" t="s">
        <v>20</v>
      </c>
      <c r="C440" s="3" t="s">
        <v>22</v>
      </c>
      <c r="D440" s="3" t="s">
        <v>15</v>
      </c>
      <c r="E440" s="4">
        <v>16</v>
      </c>
      <c r="F440" s="4">
        <v>1993</v>
      </c>
      <c r="G440" s="3" t="s">
        <v>13</v>
      </c>
      <c r="H440">
        <v>31888</v>
      </c>
      <c r="I440">
        <v>20732.27462</v>
      </c>
      <c r="J440">
        <v>11155.72538</v>
      </c>
      <c r="K440" s="5">
        <f>IF(Table1[[#This Row],[Revenue]]=0, 0, Table1[[#This Row],[Profit]]/Table1[[#This Row],[Revenue]])</f>
        <v>0.34984086113898644</v>
      </c>
    </row>
    <row r="441" spans="1:11" x14ac:dyDescent="0.35">
      <c r="A441" s="1">
        <v>45435</v>
      </c>
      <c r="B441" s="3" t="s">
        <v>27</v>
      </c>
      <c r="C441" s="3" t="s">
        <v>31</v>
      </c>
      <c r="D441" s="3" t="s">
        <v>25</v>
      </c>
      <c r="E441" s="4">
        <v>12</v>
      </c>
      <c r="F441" s="4">
        <v>1358</v>
      </c>
      <c r="G441" s="3" t="s">
        <v>19</v>
      </c>
      <c r="H441">
        <v>16296</v>
      </c>
      <c r="I441">
        <v>12107.024359999999</v>
      </c>
      <c r="J441">
        <v>4188.9756349999998</v>
      </c>
      <c r="K441" s="5">
        <f>IF(Table1[[#This Row],[Revenue]]=0, 0, Table1[[#This Row],[Profit]]/Table1[[#This Row],[Revenue]])</f>
        <v>0.25705545133775159</v>
      </c>
    </row>
    <row r="442" spans="1:11" x14ac:dyDescent="0.35">
      <c r="A442" s="1">
        <v>45377</v>
      </c>
      <c r="B442" s="3" t="s">
        <v>10</v>
      </c>
      <c r="C442" s="3" t="s">
        <v>26</v>
      </c>
      <c r="D442" s="3" t="s">
        <v>32</v>
      </c>
      <c r="E442" s="4">
        <v>8</v>
      </c>
      <c r="F442" s="4">
        <v>954</v>
      </c>
      <c r="G442" s="3" t="s">
        <v>19</v>
      </c>
      <c r="H442">
        <v>7632</v>
      </c>
      <c r="I442">
        <v>5999.0027849999997</v>
      </c>
      <c r="J442">
        <v>1632.9972150000001</v>
      </c>
      <c r="K442" s="5">
        <f>IF(Table1[[#This Row],[Revenue]]=0, 0, Table1[[#This Row],[Profit]]/Table1[[#This Row],[Revenue]])</f>
        <v>0.21396714033018868</v>
      </c>
    </row>
    <row r="443" spans="1:11" x14ac:dyDescent="0.35">
      <c r="A443" s="1">
        <v>45576</v>
      </c>
      <c r="B443" s="3" t="s">
        <v>20</v>
      </c>
      <c r="C443" s="3" t="s">
        <v>43</v>
      </c>
      <c r="D443" s="3" t="s">
        <v>12</v>
      </c>
      <c r="E443" s="4">
        <v>1</v>
      </c>
      <c r="F443" s="4">
        <v>1943</v>
      </c>
      <c r="G443" s="3" t="s">
        <v>16</v>
      </c>
      <c r="H443">
        <v>1943</v>
      </c>
      <c r="I443">
        <v>1667.7007610000001</v>
      </c>
      <c r="J443">
        <v>275.29923930000001</v>
      </c>
      <c r="K443" s="5">
        <f>IF(Table1[[#This Row],[Revenue]]=0, 0, Table1[[#This Row],[Profit]]/Table1[[#This Row],[Revenue]])</f>
        <v>0.14168771966031909</v>
      </c>
    </row>
    <row r="444" spans="1:11" x14ac:dyDescent="0.35">
      <c r="A444" s="1">
        <v>45511</v>
      </c>
      <c r="B444" s="3" t="s">
        <v>20</v>
      </c>
      <c r="C444" s="3" t="s">
        <v>26</v>
      </c>
      <c r="D444" s="3" t="s">
        <v>21</v>
      </c>
      <c r="E444" s="4">
        <v>4</v>
      </c>
      <c r="F444" s="4">
        <v>1203</v>
      </c>
      <c r="G444" s="3" t="s">
        <v>19</v>
      </c>
      <c r="H444">
        <v>4812</v>
      </c>
      <c r="I444">
        <v>3198.5720590000001</v>
      </c>
      <c r="J444">
        <v>1613.4279409999999</v>
      </c>
      <c r="K444" s="5">
        <f>IF(Table1[[#This Row],[Revenue]]=0, 0, Table1[[#This Row],[Profit]]/Table1[[#This Row],[Revenue]])</f>
        <v>0.33529258956774727</v>
      </c>
    </row>
    <row r="445" spans="1:11" x14ac:dyDescent="0.35">
      <c r="A445" s="1">
        <v>45360</v>
      </c>
      <c r="B445" s="3" t="s">
        <v>20</v>
      </c>
      <c r="C445" s="3" t="s">
        <v>24</v>
      </c>
      <c r="D445" s="3" t="s">
        <v>18</v>
      </c>
      <c r="E445" s="4">
        <v>10</v>
      </c>
      <c r="F445" s="4">
        <v>1770</v>
      </c>
      <c r="G445" s="3" t="s">
        <v>19</v>
      </c>
      <c r="H445">
        <v>17700</v>
      </c>
      <c r="I445">
        <v>11552.668750000001</v>
      </c>
      <c r="J445">
        <v>6147.3312489999998</v>
      </c>
      <c r="K445" s="5">
        <f>IF(Table1[[#This Row],[Revenue]]=0, 0, Table1[[#This Row],[Profit]]/Table1[[#This Row],[Revenue]])</f>
        <v>0.34730685022598867</v>
      </c>
    </row>
    <row r="446" spans="1:11" x14ac:dyDescent="0.35">
      <c r="A446" s="1">
        <v>45338</v>
      </c>
      <c r="B446" s="3" t="s">
        <v>10</v>
      </c>
      <c r="C446" s="3" t="s">
        <v>26</v>
      </c>
      <c r="D446" s="3" t="s">
        <v>25</v>
      </c>
      <c r="E446" s="4">
        <v>11</v>
      </c>
      <c r="F446" s="4">
        <v>121</v>
      </c>
      <c r="G446" s="3" t="s">
        <v>19</v>
      </c>
      <c r="H446">
        <v>1331</v>
      </c>
      <c r="I446">
        <v>899.77407289999996</v>
      </c>
      <c r="J446">
        <v>431.22592709999998</v>
      </c>
      <c r="K446" s="5">
        <f>IF(Table1[[#This Row],[Revenue]]=0, 0, Table1[[#This Row],[Profit]]/Table1[[#This Row],[Revenue]])</f>
        <v>0.32398642156273477</v>
      </c>
    </row>
    <row r="447" spans="1:11" x14ac:dyDescent="0.35">
      <c r="A447" s="1">
        <v>45385</v>
      </c>
      <c r="B447" s="3" t="s">
        <v>10</v>
      </c>
      <c r="C447" s="3" t="s">
        <v>11</v>
      </c>
      <c r="D447" s="3" t="s">
        <v>21</v>
      </c>
      <c r="E447" s="4">
        <v>17</v>
      </c>
      <c r="F447" s="4">
        <v>1600</v>
      </c>
      <c r="G447" s="3" t="s">
        <v>13</v>
      </c>
      <c r="H447">
        <v>27200</v>
      </c>
      <c r="I447">
        <v>23595.0484</v>
      </c>
      <c r="J447">
        <v>3604.9515970000002</v>
      </c>
      <c r="K447" s="5">
        <f>IF(Table1[[#This Row],[Revenue]]=0, 0, Table1[[#This Row],[Profit]]/Table1[[#This Row],[Revenue]])</f>
        <v>0.13253498518382353</v>
      </c>
    </row>
    <row r="448" spans="1:11" x14ac:dyDescent="0.35">
      <c r="A448" s="1">
        <v>45529</v>
      </c>
      <c r="B448" s="3" t="s">
        <v>27</v>
      </c>
      <c r="C448" s="3" t="s">
        <v>22</v>
      </c>
      <c r="D448" s="3" t="s">
        <v>15</v>
      </c>
      <c r="E448" s="4">
        <v>7</v>
      </c>
      <c r="F448" s="4">
        <v>942</v>
      </c>
      <c r="G448" s="3" t="s">
        <v>13</v>
      </c>
      <c r="H448">
        <v>6594</v>
      </c>
      <c r="I448">
        <v>5817.9397749999998</v>
      </c>
      <c r="J448">
        <v>776.06022510000003</v>
      </c>
      <c r="K448" s="5">
        <f>IF(Table1[[#This Row],[Revenue]]=0, 0, Table1[[#This Row],[Profit]]/Table1[[#This Row],[Revenue]])</f>
        <v>0.11769187520473158</v>
      </c>
    </row>
    <row r="449" spans="1:11" x14ac:dyDescent="0.35">
      <c r="A449" s="1">
        <v>45495</v>
      </c>
      <c r="B449" s="3" t="s">
        <v>10</v>
      </c>
      <c r="C449" s="3" t="s">
        <v>31</v>
      </c>
      <c r="D449" s="3" t="s">
        <v>25</v>
      </c>
      <c r="E449" s="4">
        <v>12</v>
      </c>
      <c r="F449" s="4">
        <v>1563</v>
      </c>
      <c r="G449" s="3" t="s">
        <v>19</v>
      </c>
      <c r="H449">
        <v>18756</v>
      </c>
      <c r="I449">
        <v>14458.794669999999</v>
      </c>
      <c r="J449">
        <v>4297.2053290000003</v>
      </c>
      <c r="K449" s="5">
        <f>IF(Table1[[#This Row],[Revenue]]=0, 0, Table1[[#This Row],[Profit]]/Table1[[#This Row],[Revenue]])</f>
        <v>0.22911096870334827</v>
      </c>
    </row>
    <row r="450" spans="1:11" x14ac:dyDescent="0.35">
      <c r="A450" s="1">
        <v>45509</v>
      </c>
      <c r="B450" s="3" t="s">
        <v>20</v>
      </c>
      <c r="C450" s="3" t="s">
        <v>31</v>
      </c>
      <c r="D450" s="3" t="s">
        <v>15</v>
      </c>
      <c r="E450" s="4">
        <v>7</v>
      </c>
      <c r="F450" s="4">
        <v>1860</v>
      </c>
      <c r="G450" s="3" t="s">
        <v>19</v>
      </c>
      <c r="H450">
        <v>13020</v>
      </c>
      <c r="I450">
        <v>9770.3587759999991</v>
      </c>
      <c r="J450">
        <v>3249.641224</v>
      </c>
      <c r="K450" s="5">
        <f>IF(Table1[[#This Row],[Revenue]]=0, 0, Table1[[#This Row],[Profit]]/Table1[[#This Row],[Revenue]])</f>
        <v>0.24958841966205836</v>
      </c>
    </row>
    <row r="451" spans="1:11" x14ac:dyDescent="0.35">
      <c r="A451" s="1">
        <v>45632</v>
      </c>
      <c r="B451" s="3" t="s">
        <v>27</v>
      </c>
      <c r="C451" s="3" t="s">
        <v>22</v>
      </c>
      <c r="D451" s="3" t="s">
        <v>29</v>
      </c>
      <c r="E451" s="4">
        <v>12</v>
      </c>
      <c r="F451" s="4">
        <v>1693</v>
      </c>
      <c r="G451" s="3" t="s">
        <v>13</v>
      </c>
      <c r="H451">
        <v>20316</v>
      </c>
      <c r="I451">
        <v>15879.3042</v>
      </c>
      <c r="J451">
        <v>4436.695796</v>
      </c>
      <c r="K451" s="5">
        <f>IF(Table1[[#This Row],[Revenue]]=0, 0, Table1[[#This Row],[Profit]]/Table1[[#This Row],[Revenue]])</f>
        <v>0.21838431758220123</v>
      </c>
    </row>
    <row r="452" spans="1:11" x14ac:dyDescent="0.35">
      <c r="A452" s="1">
        <v>45330</v>
      </c>
      <c r="B452" s="3" t="s">
        <v>27</v>
      </c>
      <c r="C452" s="3" t="s">
        <v>11</v>
      </c>
      <c r="D452" s="3" t="s">
        <v>30</v>
      </c>
      <c r="E452" s="4">
        <v>15</v>
      </c>
      <c r="F452" s="4">
        <v>1216</v>
      </c>
      <c r="G452" s="3" t="s">
        <v>13</v>
      </c>
      <c r="H452">
        <v>18240</v>
      </c>
      <c r="I452">
        <v>14316.435460000001</v>
      </c>
      <c r="J452">
        <v>3923.5645399999999</v>
      </c>
      <c r="K452" s="5">
        <f>IF(Table1[[#This Row],[Revenue]]=0, 0, Table1[[#This Row],[Profit]]/Table1[[#This Row],[Revenue]])</f>
        <v>0.21510770504385965</v>
      </c>
    </row>
    <row r="453" spans="1:11" x14ac:dyDescent="0.35">
      <c r="A453" s="1">
        <v>45391</v>
      </c>
      <c r="B453" s="3" t="s">
        <v>27</v>
      </c>
      <c r="C453" s="3" t="s">
        <v>17</v>
      </c>
      <c r="D453" s="3" t="s">
        <v>29</v>
      </c>
      <c r="E453" s="4">
        <v>2</v>
      </c>
      <c r="F453" s="4">
        <v>291</v>
      </c>
      <c r="G453" s="3" t="s">
        <v>19</v>
      </c>
      <c r="H453">
        <v>582</v>
      </c>
      <c r="I453">
        <v>378.93520150000001</v>
      </c>
      <c r="J453">
        <v>203.06479849999999</v>
      </c>
      <c r="K453" s="5">
        <f>IF(Table1[[#This Row],[Revenue]]=0, 0, Table1[[#This Row],[Profit]]/Table1[[#This Row],[Revenue]])</f>
        <v>0.34890858848797252</v>
      </c>
    </row>
    <row r="454" spans="1:11" x14ac:dyDescent="0.35">
      <c r="A454" s="1">
        <v>45580</v>
      </c>
      <c r="B454" s="3" t="s">
        <v>20</v>
      </c>
      <c r="C454" s="3" t="s">
        <v>26</v>
      </c>
      <c r="D454" s="3" t="s">
        <v>15</v>
      </c>
      <c r="E454" s="4">
        <v>14</v>
      </c>
      <c r="F454" s="4">
        <v>1118</v>
      </c>
      <c r="G454" s="3" t="s">
        <v>19</v>
      </c>
      <c r="H454">
        <v>15652</v>
      </c>
      <c r="I454">
        <v>12614.310939999999</v>
      </c>
      <c r="J454">
        <v>3037.6890640000001</v>
      </c>
      <c r="K454" s="5">
        <f>IF(Table1[[#This Row],[Revenue]]=0, 0, Table1[[#This Row],[Profit]]/Table1[[#This Row],[Revenue]])</f>
        <v>0.19407673549706109</v>
      </c>
    </row>
    <row r="455" spans="1:11" x14ac:dyDescent="0.35">
      <c r="A455" s="1">
        <v>45545</v>
      </c>
      <c r="B455" s="3" t="s">
        <v>23</v>
      </c>
      <c r="C455" s="3" t="s">
        <v>11</v>
      </c>
      <c r="D455" s="3" t="s">
        <v>12</v>
      </c>
      <c r="E455" s="4">
        <v>13</v>
      </c>
      <c r="F455" s="4">
        <v>1226</v>
      </c>
      <c r="G455" s="3" t="s">
        <v>13</v>
      </c>
      <c r="H455">
        <v>15938</v>
      </c>
      <c r="I455">
        <v>11725.671560000001</v>
      </c>
      <c r="J455">
        <v>4212.3284389999999</v>
      </c>
      <c r="K455" s="5">
        <f>IF(Table1[[#This Row],[Revenue]]=0, 0, Table1[[#This Row],[Profit]]/Table1[[#This Row],[Revenue]])</f>
        <v>0.26429466928096373</v>
      </c>
    </row>
    <row r="456" spans="1:11" x14ac:dyDescent="0.35">
      <c r="A456" s="1">
        <v>45513</v>
      </c>
      <c r="B456" s="3" t="s">
        <v>20</v>
      </c>
      <c r="C456" s="3" t="s">
        <v>24</v>
      </c>
      <c r="D456" s="3" t="s">
        <v>44</v>
      </c>
      <c r="E456" s="4">
        <v>4</v>
      </c>
      <c r="F456" s="4">
        <v>495</v>
      </c>
      <c r="G456" s="3" t="s">
        <v>19</v>
      </c>
      <c r="H456">
        <v>1980</v>
      </c>
      <c r="I456">
        <v>1495.3248840000001</v>
      </c>
      <c r="J456">
        <v>484.67511639999998</v>
      </c>
      <c r="K456" s="5">
        <f>IF(Table1[[#This Row],[Revenue]]=0, 0, Table1[[#This Row],[Profit]]/Table1[[#This Row],[Revenue]])</f>
        <v>0.24478541232323231</v>
      </c>
    </row>
    <row r="457" spans="1:11" x14ac:dyDescent="0.35">
      <c r="A457" s="1">
        <v>45648</v>
      </c>
      <c r="B457" s="3" t="s">
        <v>10</v>
      </c>
      <c r="C457" s="3" t="s">
        <v>14</v>
      </c>
      <c r="D457" s="3" t="s">
        <v>18</v>
      </c>
      <c r="E457" s="4">
        <v>14</v>
      </c>
      <c r="F457" s="4">
        <v>1130</v>
      </c>
      <c r="G457" s="3" t="s">
        <v>16</v>
      </c>
      <c r="H457">
        <v>15820</v>
      </c>
      <c r="I457">
        <v>9635.8826040000004</v>
      </c>
      <c r="J457">
        <v>6184.1173959999996</v>
      </c>
      <c r="K457" s="5">
        <f>IF(Table1[[#This Row],[Revenue]]=0, 0, Table1[[#This Row],[Profit]]/Table1[[#This Row],[Revenue]])</f>
        <v>0.39090501871049305</v>
      </c>
    </row>
    <row r="458" spans="1:11" x14ac:dyDescent="0.35">
      <c r="A458" s="1">
        <v>45314</v>
      </c>
      <c r="B458" s="3" t="s">
        <v>10</v>
      </c>
      <c r="C458" s="3" t="s">
        <v>28</v>
      </c>
      <c r="D458" s="3" t="s">
        <v>32</v>
      </c>
      <c r="E458" s="4">
        <v>14</v>
      </c>
      <c r="F458" s="4">
        <v>739</v>
      </c>
      <c r="G458" s="3" t="s">
        <v>16</v>
      </c>
      <c r="H458">
        <v>10346</v>
      </c>
      <c r="I458">
        <v>8580.6308759999993</v>
      </c>
      <c r="J458">
        <v>1765.3691240000001</v>
      </c>
      <c r="K458" s="5">
        <f>IF(Table1[[#This Row],[Revenue]]=0, 0, Table1[[#This Row],[Profit]]/Table1[[#This Row],[Revenue]])</f>
        <v>0.17063301024550551</v>
      </c>
    </row>
    <row r="459" spans="1:11" x14ac:dyDescent="0.35">
      <c r="A459" s="1">
        <v>45541</v>
      </c>
      <c r="B459" s="3" t="s">
        <v>20</v>
      </c>
      <c r="C459" s="3" t="s">
        <v>43</v>
      </c>
      <c r="D459" s="3" t="s">
        <v>18</v>
      </c>
      <c r="E459" s="4">
        <v>16</v>
      </c>
      <c r="F459" s="4">
        <v>1118</v>
      </c>
      <c r="G459" s="3" t="s">
        <v>13</v>
      </c>
      <c r="H459">
        <v>17888</v>
      </c>
      <c r="I459">
        <v>15216.04061</v>
      </c>
      <c r="J459">
        <v>2671.9593890000001</v>
      </c>
      <c r="K459" s="5">
        <f>IF(Table1[[#This Row],[Revenue]]=0, 0, Table1[[#This Row],[Profit]]/Table1[[#This Row],[Revenue]])</f>
        <v>0.14937161163908766</v>
      </c>
    </row>
    <row r="460" spans="1:11" x14ac:dyDescent="0.35">
      <c r="A460" s="1">
        <v>45301</v>
      </c>
      <c r="B460" s="3" t="s">
        <v>20</v>
      </c>
      <c r="C460" s="3" t="s">
        <v>14</v>
      </c>
      <c r="D460" s="3" t="s">
        <v>25</v>
      </c>
      <c r="E460" s="4">
        <v>7</v>
      </c>
      <c r="F460" s="4">
        <v>666</v>
      </c>
      <c r="G460" s="3" t="s">
        <v>16</v>
      </c>
      <c r="H460">
        <v>4662</v>
      </c>
      <c r="I460">
        <v>3663.5229850000001</v>
      </c>
      <c r="J460">
        <v>998.47701470000004</v>
      </c>
      <c r="K460" s="5">
        <f>IF(Table1[[#This Row],[Revenue]]=0, 0, Table1[[#This Row],[Profit]]/Table1[[#This Row],[Revenue]])</f>
        <v>0.21417353382668383</v>
      </c>
    </row>
    <row r="461" spans="1:11" x14ac:dyDescent="0.35">
      <c r="A461" s="1">
        <v>45537</v>
      </c>
      <c r="B461" s="3" t="s">
        <v>27</v>
      </c>
      <c r="C461" s="3" t="s">
        <v>26</v>
      </c>
      <c r="D461" s="3" t="s">
        <v>29</v>
      </c>
      <c r="E461" s="4">
        <v>19</v>
      </c>
      <c r="F461" s="4">
        <v>330</v>
      </c>
      <c r="G461" s="3" t="s">
        <v>19</v>
      </c>
      <c r="H461">
        <v>6270</v>
      </c>
      <c r="I461">
        <v>5170.349158</v>
      </c>
      <c r="J461">
        <v>1099.650842</v>
      </c>
      <c r="K461" s="5">
        <f>IF(Table1[[#This Row],[Revenue]]=0, 0, Table1[[#This Row],[Profit]]/Table1[[#This Row],[Revenue]])</f>
        <v>0.17538290940988835</v>
      </c>
    </row>
    <row r="462" spans="1:11" x14ac:dyDescent="0.35">
      <c r="A462" s="1">
        <v>45616</v>
      </c>
      <c r="B462" s="3" t="s">
        <v>20</v>
      </c>
      <c r="C462" s="3" t="s">
        <v>31</v>
      </c>
      <c r="D462" s="3" t="s">
        <v>32</v>
      </c>
      <c r="E462" s="4">
        <v>2</v>
      </c>
      <c r="F462" s="4">
        <v>973</v>
      </c>
      <c r="G462" s="3" t="s">
        <v>19</v>
      </c>
      <c r="H462">
        <v>1946</v>
      </c>
      <c r="I462">
        <v>1472.7557650000001</v>
      </c>
      <c r="J462">
        <v>473.24423530000001</v>
      </c>
      <c r="K462" s="5">
        <f>IF(Table1[[#This Row],[Revenue]]=0, 0, Table1[[#This Row],[Profit]]/Table1[[#This Row],[Revenue]])</f>
        <v>0.24318819902363825</v>
      </c>
    </row>
    <row r="463" spans="1:11" x14ac:dyDescent="0.35">
      <c r="A463" s="1">
        <v>45391</v>
      </c>
      <c r="B463" s="3" t="s">
        <v>27</v>
      </c>
      <c r="C463" s="3" t="s">
        <v>28</v>
      </c>
      <c r="D463" s="3" t="s">
        <v>44</v>
      </c>
      <c r="E463" s="4">
        <v>10</v>
      </c>
      <c r="F463" s="4">
        <v>673</v>
      </c>
      <c r="G463" s="3" t="s">
        <v>16</v>
      </c>
      <c r="H463">
        <v>6730</v>
      </c>
      <c r="I463">
        <v>5286.4554719999996</v>
      </c>
      <c r="J463">
        <v>1443.5445279999999</v>
      </c>
      <c r="K463" s="5">
        <f>IF(Table1[[#This Row],[Revenue]]=0, 0, Table1[[#This Row],[Profit]]/Table1[[#This Row],[Revenue]])</f>
        <v>0.21449398632986624</v>
      </c>
    </row>
    <row r="464" spans="1:11" x14ac:dyDescent="0.35">
      <c r="A464" s="1">
        <v>45581</v>
      </c>
      <c r="B464" s="3" t="s">
        <v>10</v>
      </c>
      <c r="C464" s="3" t="s">
        <v>14</v>
      </c>
      <c r="D464" s="3" t="s">
        <v>15</v>
      </c>
      <c r="E464" s="4">
        <v>18</v>
      </c>
      <c r="F464" s="4">
        <v>339</v>
      </c>
      <c r="G464" s="3" t="s">
        <v>16</v>
      </c>
      <c r="H464">
        <v>6102</v>
      </c>
      <c r="I464">
        <v>4383.5029510000004</v>
      </c>
      <c r="J464">
        <v>1718.4970490000001</v>
      </c>
      <c r="K464" s="5">
        <f>IF(Table1[[#This Row],[Revenue]]=0, 0, Table1[[#This Row],[Profit]]/Table1[[#This Row],[Revenue]])</f>
        <v>0.28162849049491973</v>
      </c>
    </row>
    <row r="465" spans="1:11" x14ac:dyDescent="0.35">
      <c r="A465" s="1">
        <v>45471</v>
      </c>
      <c r="B465" s="3" t="s">
        <v>27</v>
      </c>
      <c r="C465" s="3" t="s">
        <v>43</v>
      </c>
      <c r="D465" s="3" t="s">
        <v>12</v>
      </c>
      <c r="E465" s="4">
        <v>17</v>
      </c>
      <c r="F465" s="4">
        <v>189</v>
      </c>
      <c r="G465" s="3" t="s">
        <v>19</v>
      </c>
      <c r="H465">
        <v>3213</v>
      </c>
      <c r="I465">
        <v>2691.0876039999998</v>
      </c>
      <c r="J465">
        <v>521.91239589999998</v>
      </c>
      <c r="K465" s="5">
        <f>IF(Table1[[#This Row],[Revenue]]=0, 0, Table1[[#This Row],[Profit]]/Table1[[#This Row],[Revenue]])</f>
        <v>0.16243772047930283</v>
      </c>
    </row>
    <row r="466" spans="1:11" x14ac:dyDescent="0.35">
      <c r="A466" s="1">
        <v>45514</v>
      </c>
      <c r="B466" s="3" t="s">
        <v>20</v>
      </c>
      <c r="C466" s="3" t="s">
        <v>14</v>
      </c>
      <c r="D466" s="3" t="s">
        <v>18</v>
      </c>
      <c r="E466" s="4">
        <v>5</v>
      </c>
      <c r="F466" s="4">
        <v>331</v>
      </c>
      <c r="G466" s="3" t="s">
        <v>16</v>
      </c>
      <c r="H466">
        <v>1655</v>
      </c>
      <c r="I466">
        <v>1225.496517</v>
      </c>
      <c r="J466">
        <v>429.50348309999998</v>
      </c>
      <c r="K466" s="5">
        <f>IF(Table1[[#This Row],[Revenue]]=0, 0, Table1[[#This Row],[Profit]]/Table1[[#This Row],[Revenue]])</f>
        <v>0.25951872090634442</v>
      </c>
    </row>
    <row r="467" spans="1:11" x14ac:dyDescent="0.35">
      <c r="A467" s="1">
        <v>45541</v>
      </c>
      <c r="B467" s="3" t="s">
        <v>10</v>
      </c>
      <c r="C467" s="3" t="s">
        <v>24</v>
      </c>
      <c r="D467" s="3" t="s">
        <v>15</v>
      </c>
      <c r="E467" s="4">
        <v>12</v>
      </c>
      <c r="F467" s="4">
        <v>556</v>
      </c>
      <c r="G467" s="3" t="s">
        <v>19</v>
      </c>
      <c r="H467">
        <v>6672</v>
      </c>
      <c r="I467">
        <v>5364.7141490000004</v>
      </c>
      <c r="J467">
        <v>1307.2858510000001</v>
      </c>
      <c r="K467" s="5">
        <f>IF(Table1[[#This Row],[Revenue]]=0, 0, Table1[[#This Row],[Profit]]/Table1[[#This Row],[Revenue]])</f>
        <v>0.19593612874700242</v>
      </c>
    </row>
    <row r="468" spans="1:11" x14ac:dyDescent="0.35">
      <c r="A468" s="1">
        <v>45438</v>
      </c>
      <c r="B468" s="3" t="s">
        <v>23</v>
      </c>
      <c r="C468" s="3" t="s">
        <v>31</v>
      </c>
      <c r="D468" s="3" t="s">
        <v>32</v>
      </c>
      <c r="E468" s="4">
        <v>6</v>
      </c>
      <c r="F468" s="4">
        <v>332</v>
      </c>
      <c r="G468" s="3" t="s">
        <v>19</v>
      </c>
      <c r="H468">
        <v>1992</v>
      </c>
      <c r="I468">
        <v>1566.5661970000001</v>
      </c>
      <c r="J468">
        <v>425.43380330000002</v>
      </c>
      <c r="K468" s="5">
        <f>IF(Table1[[#This Row],[Revenue]]=0, 0, Table1[[#This Row],[Profit]]/Table1[[#This Row],[Revenue]])</f>
        <v>0.21357118639558234</v>
      </c>
    </row>
    <row r="469" spans="1:11" x14ac:dyDescent="0.35">
      <c r="A469" s="1">
        <v>45387</v>
      </c>
      <c r="B469" s="3" t="s">
        <v>27</v>
      </c>
      <c r="C469" s="3" t="s">
        <v>22</v>
      </c>
      <c r="D469" s="3" t="s">
        <v>32</v>
      </c>
      <c r="E469" s="4">
        <v>9</v>
      </c>
      <c r="F469" s="4">
        <v>453</v>
      </c>
      <c r="G469" s="3" t="s">
        <v>13</v>
      </c>
      <c r="H469">
        <v>4077</v>
      </c>
      <c r="I469">
        <v>3305.200887</v>
      </c>
      <c r="J469">
        <v>771.79911259999994</v>
      </c>
      <c r="K469" s="5">
        <f>IF(Table1[[#This Row],[Revenue]]=0, 0, Table1[[#This Row],[Profit]]/Table1[[#This Row],[Revenue]])</f>
        <v>0.1893056444935001</v>
      </c>
    </row>
    <row r="470" spans="1:11" x14ac:dyDescent="0.35">
      <c r="A470" s="1">
        <v>45548</v>
      </c>
      <c r="B470" s="3" t="s">
        <v>10</v>
      </c>
      <c r="C470" s="3" t="s">
        <v>26</v>
      </c>
      <c r="D470" s="3" t="s">
        <v>18</v>
      </c>
      <c r="E470" s="4">
        <v>1</v>
      </c>
      <c r="F470" s="4">
        <v>1104</v>
      </c>
      <c r="G470" s="3" t="s">
        <v>19</v>
      </c>
      <c r="H470">
        <v>1104</v>
      </c>
      <c r="I470">
        <v>922.46349780000003</v>
      </c>
      <c r="J470">
        <v>181.5365022</v>
      </c>
      <c r="K470" s="5">
        <f>IF(Table1[[#This Row],[Revenue]]=0, 0, Table1[[#This Row],[Profit]]/Table1[[#This Row],[Revenue]])</f>
        <v>0.1644352375</v>
      </c>
    </row>
    <row r="471" spans="1:11" x14ac:dyDescent="0.35">
      <c r="A471" s="1">
        <v>45616</v>
      </c>
      <c r="B471" s="3" t="s">
        <v>27</v>
      </c>
      <c r="C471" s="3" t="s">
        <v>22</v>
      </c>
      <c r="D471" s="3" t="s">
        <v>15</v>
      </c>
      <c r="E471" s="4">
        <v>15</v>
      </c>
      <c r="F471" s="4">
        <v>1456</v>
      </c>
      <c r="G471" s="3" t="s">
        <v>13</v>
      </c>
      <c r="H471">
        <v>21840</v>
      </c>
      <c r="I471">
        <v>16463.298729999999</v>
      </c>
      <c r="J471">
        <v>5376.7012690000001</v>
      </c>
      <c r="K471" s="5">
        <f>IF(Table1[[#This Row],[Revenue]]=0, 0, Table1[[#This Row],[Profit]]/Table1[[#This Row],[Revenue]])</f>
        <v>0.24618595554029304</v>
      </c>
    </row>
    <row r="472" spans="1:11" x14ac:dyDescent="0.35">
      <c r="A472" s="1">
        <v>45295</v>
      </c>
      <c r="B472" s="3" t="s">
        <v>10</v>
      </c>
      <c r="C472" s="3" t="s">
        <v>28</v>
      </c>
      <c r="D472" s="3" t="s">
        <v>21</v>
      </c>
      <c r="E472" s="4">
        <v>6</v>
      </c>
      <c r="F472" s="4">
        <v>538</v>
      </c>
      <c r="G472" s="3" t="s">
        <v>16</v>
      </c>
      <c r="H472">
        <v>3228</v>
      </c>
      <c r="I472">
        <v>2724.173065</v>
      </c>
      <c r="J472">
        <v>503.82693469999998</v>
      </c>
      <c r="K472" s="5">
        <f>IF(Table1[[#This Row],[Revenue]]=0, 0, Table1[[#This Row],[Profit]]/Table1[[#This Row],[Revenue]])</f>
        <v>0.15608021521065674</v>
      </c>
    </row>
    <row r="473" spans="1:11" x14ac:dyDescent="0.35">
      <c r="A473" s="1">
        <v>45307</v>
      </c>
      <c r="B473" s="3" t="s">
        <v>10</v>
      </c>
      <c r="C473" s="3" t="s">
        <v>26</v>
      </c>
      <c r="D473" s="3" t="s">
        <v>15</v>
      </c>
      <c r="E473" s="4">
        <v>19</v>
      </c>
      <c r="F473" s="4">
        <v>1498</v>
      </c>
      <c r="G473" s="3" t="s">
        <v>19</v>
      </c>
      <c r="H473">
        <v>28462</v>
      </c>
      <c r="I473">
        <v>21323.08065</v>
      </c>
      <c r="J473">
        <v>7138.9193539999997</v>
      </c>
      <c r="K473" s="5">
        <f>IF(Table1[[#This Row],[Revenue]]=0, 0, Table1[[#This Row],[Profit]]/Table1[[#This Row],[Revenue]])</f>
        <v>0.25082282882439744</v>
      </c>
    </row>
    <row r="474" spans="1:11" x14ac:dyDescent="0.35">
      <c r="A474" s="1">
        <v>45627</v>
      </c>
      <c r="B474" s="3" t="s">
        <v>23</v>
      </c>
      <c r="C474" s="3" t="s">
        <v>17</v>
      </c>
      <c r="D474" s="3" t="s">
        <v>44</v>
      </c>
      <c r="E474" s="4">
        <v>6</v>
      </c>
      <c r="F474" s="4">
        <v>444</v>
      </c>
      <c r="G474" s="3" t="s">
        <v>19</v>
      </c>
      <c r="H474">
        <v>2664</v>
      </c>
      <c r="I474">
        <v>2199.9352610000001</v>
      </c>
      <c r="J474">
        <v>464.06473849999998</v>
      </c>
      <c r="K474" s="5">
        <f>IF(Table1[[#This Row],[Revenue]]=0, 0, Table1[[#This Row],[Profit]]/Table1[[#This Row],[Revenue]])</f>
        <v>0.17419847541291292</v>
      </c>
    </row>
    <row r="475" spans="1:11" x14ac:dyDescent="0.35">
      <c r="A475" s="1">
        <v>45538</v>
      </c>
      <c r="B475" s="3" t="s">
        <v>10</v>
      </c>
      <c r="C475" s="3" t="s">
        <v>11</v>
      </c>
      <c r="D475" s="3" t="s">
        <v>12</v>
      </c>
      <c r="E475" s="4">
        <v>13</v>
      </c>
      <c r="F475" s="4">
        <v>763</v>
      </c>
      <c r="G475" s="3" t="s">
        <v>13</v>
      </c>
      <c r="H475">
        <v>9919</v>
      </c>
      <c r="I475">
        <v>6460.6662070000002</v>
      </c>
      <c r="J475">
        <v>3458.3337929999998</v>
      </c>
      <c r="K475" s="5">
        <f>IF(Table1[[#This Row],[Revenue]]=0, 0, Table1[[#This Row],[Profit]]/Table1[[#This Row],[Revenue]])</f>
        <v>0.348657505091239</v>
      </c>
    </row>
    <row r="476" spans="1:11" x14ac:dyDescent="0.35">
      <c r="A476" s="1">
        <v>45549</v>
      </c>
      <c r="B476" s="3" t="s">
        <v>10</v>
      </c>
      <c r="C476" s="3" t="s">
        <v>11</v>
      </c>
      <c r="D476" s="3" t="s">
        <v>25</v>
      </c>
      <c r="E476" s="4">
        <v>1</v>
      </c>
      <c r="F476" s="4">
        <v>1551</v>
      </c>
      <c r="G476" s="3" t="s">
        <v>13</v>
      </c>
      <c r="H476">
        <v>1551</v>
      </c>
      <c r="I476">
        <v>1316.6056550000001</v>
      </c>
      <c r="J476">
        <v>234.39434549999999</v>
      </c>
      <c r="K476" s="5">
        <f>IF(Table1[[#This Row],[Revenue]]=0, 0, Table1[[#This Row],[Profit]]/Table1[[#This Row],[Revenue]])</f>
        <v>0.15112465860735008</v>
      </c>
    </row>
    <row r="477" spans="1:11" x14ac:dyDescent="0.35">
      <c r="A477" s="1">
        <v>45451</v>
      </c>
      <c r="B477" s="3" t="s">
        <v>10</v>
      </c>
      <c r="C477" s="3" t="s">
        <v>22</v>
      </c>
      <c r="D477" s="3" t="s">
        <v>29</v>
      </c>
      <c r="E477" s="4">
        <v>13</v>
      </c>
      <c r="F477" s="4">
        <v>756</v>
      </c>
      <c r="G477" s="3" t="s">
        <v>13</v>
      </c>
      <c r="H477">
        <v>9828</v>
      </c>
      <c r="I477">
        <v>7523.1010589999996</v>
      </c>
      <c r="J477">
        <v>2304.8989409999999</v>
      </c>
      <c r="K477" s="5">
        <f>IF(Table1[[#This Row],[Revenue]]=0, 0, Table1[[#This Row],[Profit]]/Table1[[#This Row],[Revenue]])</f>
        <v>0.23452370177045176</v>
      </c>
    </row>
    <row r="478" spans="1:11" x14ac:dyDescent="0.35">
      <c r="A478" s="1">
        <v>45631</v>
      </c>
      <c r="B478" s="3" t="s">
        <v>23</v>
      </c>
      <c r="C478" s="3" t="s">
        <v>28</v>
      </c>
      <c r="D478" s="3" t="s">
        <v>12</v>
      </c>
      <c r="E478" s="4">
        <v>7</v>
      </c>
      <c r="F478" s="4">
        <v>229</v>
      </c>
      <c r="G478" s="3" t="s">
        <v>16</v>
      </c>
      <c r="H478">
        <v>1603</v>
      </c>
      <c r="I478">
        <v>1435.227275</v>
      </c>
      <c r="J478">
        <v>167.77272529999999</v>
      </c>
      <c r="K478" s="5">
        <f>IF(Table1[[#This Row],[Revenue]]=0, 0, Table1[[#This Row],[Profit]]/Table1[[#This Row],[Revenue]])</f>
        <v>0.10466171260137241</v>
      </c>
    </row>
    <row r="479" spans="1:11" x14ac:dyDescent="0.35">
      <c r="A479" s="1">
        <v>45443</v>
      </c>
      <c r="B479" s="3" t="s">
        <v>23</v>
      </c>
      <c r="C479" s="3" t="s">
        <v>17</v>
      </c>
      <c r="D479" s="3" t="s">
        <v>21</v>
      </c>
      <c r="E479" s="4">
        <v>15</v>
      </c>
      <c r="F479" s="4">
        <v>240</v>
      </c>
      <c r="G479" s="3" t="s">
        <v>19</v>
      </c>
      <c r="H479">
        <v>3600</v>
      </c>
      <c r="I479">
        <v>2936.3245670000001</v>
      </c>
      <c r="J479">
        <v>663.67543279999995</v>
      </c>
      <c r="K479" s="5">
        <f>IF(Table1[[#This Row],[Revenue]]=0, 0, Table1[[#This Row],[Profit]]/Table1[[#This Row],[Revenue]])</f>
        <v>0.18435428688888889</v>
      </c>
    </row>
    <row r="480" spans="1:11" x14ac:dyDescent="0.35">
      <c r="A480" s="1">
        <v>45469</v>
      </c>
      <c r="B480" s="3" t="s">
        <v>20</v>
      </c>
      <c r="C480" s="3" t="s">
        <v>14</v>
      </c>
      <c r="D480" s="3" t="s">
        <v>30</v>
      </c>
      <c r="E480" s="4">
        <v>12</v>
      </c>
      <c r="F480" s="4">
        <v>514</v>
      </c>
      <c r="G480" s="3" t="s">
        <v>16</v>
      </c>
      <c r="H480">
        <v>6168</v>
      </c>
      <c r="I480">
        <v>3856.9566369999998</v>
      </c>
      <c r="J480">
        <v>2311.0433630000002</v>
      </c>
      <c r="K480" s="5">
        <f>IF(Table1[[#This Row],[Revenue]]=0, 0, Table1[[#This Row],[Profit]]/Table1[[#This Row],[Revenue]])</f>
        <v>0.37468277610246437</v>
      </c>
    </row>
    <row r="481" spans="1:11" x14ac:dyDescent="0.35">
      <c r="A481" s="1">
        <v>45454</v>
      </c>
      <c r="B481" s="3" t="s">
        <v>27</v>
      </c>
      <c r="C481" s="3" t="s">
        <v>26</v>
      </c>
      <c r="D481" s="3" t="s">
        <v>25</v>
      </c>
      <c r="E481" s="4">
        <v>1</v>
      </c>
      <c r="F481" s="4">
        <v>1216</v>
      </c>
      <c r="G481" s="3" t="s">
        <v>19</v>
      </c>
      <c r="H481">
        <v>1216</v>
      </c>
      <c r="I481">
        <v>873.68156399999998</v>
      </c>
      <c r="J481">
        <v>342.31843600000002</v>
      </c>
      <c r="K481" s="5">
        <f>IF(Table1[[#This Row],[Revenue]]=0, 0, Table1[[#This Row],[Profit]]/Table1[[#This Row],[Revenue]])</f>
        <v>0.28151187171052633</v>
      </c>
    </row>
    <row r="482" spans="1:11" x14ac:dyDescent="0.35">
      <c r="A482" s="1">
        <v>45324</v>
      </c>
      <c r="B482" s="3" t="s">
        <v>23</v>
      </c>
      <c r="C482" s="3" t="s">
        <v>26</v>
      </c>
      <c r="D482" s="3" t="s">
        <v>29</v>
      </c>
      <c r="E482" s="4">
        <v>15</v>
      </c>
      <c r="F482" s="4">
        <v>725</v>
      </c>
      <c r="G482" s="3" t="s">
        <v>19</v>
      </c>
      <c r="H482">
        <v>10875</v>
      </c>
      <c r="I482">
        <v>8212.6110009999993</v>
      </c>
      <c r="J482">
        <v>2662.3889989999998</v>
      </c>
      <c r="K482" s="5">
        <f>IF(Table1[[#This Row],[Revenue]]=0, 0, Table1[[#This Row],[Profit]]/Table1[[#This Row],[Revenue]])</f>
        <v>0.24481737921839078</v>
      </c>
    </row>
    <row r="483" spans="1:11" x14ac:dyDescent="0.35">
      <c r="A483" s="1">
        <v>45470</v>
      </c>
      <c r="B483" s="3" t="s">
        <v>27</v>
      </c>
      <c r="C483" s="3" t="s">
        <v>24</v>
      </c>
      <c r="D483" s="3" t="s">
        <v>30</v>
      </c>
      <c r="E483" s="4">
        <v>4</v>
      </c>
      <c r="F483" s="4">
        <v>383</v>
      </c>
      <c r="G483" s="3" t="s">
        <v>19</v>
      </c>
      <c r="H483">
        <v>1532</v>
      </c>
      <c r="I483">
        <v>1304.8106519999999</v>
      </c>
      <c r="J483">
        <v>227.189348</v>
      </c>
      <c r="K483" s="5">
        <f>IF(Table1[[#This Row],[Revenue]]=0, 0, Table1[[#This Row],[Profit]]/Table1[[#This Row],[Revenue]])</f>
        <v>0.14829591906005221</v>
      </c>
    </row>
    <row r="484" spans="1:11" x14ac:dyDescent="0.35">
      <c r="A484" s="1">
        <v>45392</v>
      </c>
      <c r="B484" s="3" t="s">
        <v>20</v>
      </c>
      <c r="C484" s="3" t="s">
        <v>31</v>
      </c>
      <c r="D484" s="3" t="s">
        <v>18</v>
      </c>
      <c r="E484" s="4">
        <v>13</v>
      </c>
      <c r="F484" s="4">
        <v>1778</v>
      </c>
      <c r="G484" s="3" t="s">
        <v>19</v>
      </c>
      <c r="H484">
        <v>23114</v>
      </c>
      <c r="I484">
        <v>18925.827799999999</v>
      </c>
      <c r="J484">
        <v>4188.1721960000004</v>
      </c>
      <c r="K484" s="5">
        <f>IF(Table1[[#This Row],[Revenue]]=0, 0, Table1[[#This Row],[Profit]]/Table1[[#This Row],[Revenue]])</f>
        <v>0.18119633970753657</v>
      </c>
    </row>
    <row r="485" spans="1:11" x14ac:dyDescent="0.35">
      <c r="A485" s="1">
        <v>45559</v>
      </c>
      <c r="B485" s="3" t="s">
        <v>27</v>
      </c>
      <c r="C485" s="3" t="s">
        <v>24</v>
      </c>
      <c r="D485" s="3" t="s">
        <v>44</v>
      </c>
      <c r="E485" s="4">
        <v>5</v>
      </c>
      <c r="F485" s="4">
        <v>322</v>
      </c>
      <c r="G485" s="3" t="s">
        <v>19</v>
      </c>
      <c r="H485">
        <v>1610</v>
      </c>
      <c r="I485">
        <v>1144.4009140000001</v>
      </c>
      <c r="J485">
        <v>465.59908589999998</v>
      </c>
      <c r="K485" s="5">
        <f>IF(Table1[[#This Row],[Revenue]]=0, 0, Table1[[#This Row],[Profit]]/Table1[[#This Row],[Revenue]])</f>
        <v>0.28919197881987574</v>
      </c>
    </row>
    <row r="486" spans="1:11" x14ac:dyDescent="0.35">
      <c r="A486" s="1">
        <v>45614</v>
      </c>
      <c r="B486" s="3" t="s">
        <v>23</v>
      </c>
      <c r="C486" s="3" t="s">
        <v>14</v>
      </c>
      <c r="D486" s="3" t="s">
        <v>25</v>
      </c>
      <c r="E486" s="4">
        <v>2</v>
      </c>
      <c r="F486" s="4">
        <v>843</v>
      </c>
      <c r="G486" s="3" t="s">
        <v>16</v>
      </c>
      <c r="H486">
        <v>1686</v>
      </c>
      <c r="I486">
        <v>1342.1062529999999</v>
      </c>
      <c r="J486">
        <v>343.89374670000001</v>
      </c>
      <c r="K486" s="5">
        <f>IF(Table1[[#This Row],[Revenue]]=0, 0, Table1[[#This Row],[Profit]]/Table1[[#This Row],[Revenue]])</f>
        <v>0.20397019377224199</v>
      </c>
    </row>
    <row r="487" spans="1:11" x14ac:dyDescent="0.35">
      <c r="A487" s="1">
        <v>45356</v>
      </c>
      <c r="B487" s="3" t="s">
        <v>27</v>
      </c>
      <c r="C487" s="3" t="s">
        <v>24</v>
      </c>
      <c r="D487" s="3" t="s">
        <v>15</v>
      </c>
      <c r="E487" s="4">
        <v>1</v>
      </c>
      <c r="F487" s="4">
        <v>562</v>
      </c>
      <c r="G487" s="3" t="s">
        <v>19</v>
      </c>
      <c r="H487">
        <v>562</v>
      </c>
      <c r="I487">
        <v>434.46717910000001</v>
      </c>
      <c r="J487">
        <v>127.5328209</v>
      </c>
      <c r="K487" s="5">
        <f>IF(Table1[[#This Row],[Revenue]]=0, 0, Table1[[#This Row],[Profit]]/Table1[[#This Row],[Revenue]])</f>
        <v>0.22692672758007118</v>
      </c>
    </row>
    <row r="488" spans="1:11" x14ac:dyDescent="0.35">
      <c r="A488" s="1">
        <v>45459</v>
      </c>
      <c r="B488" s="3" t="s">
        <v>23</v>
      </c>
      <c r="C488" s="3" t="s">
        <v>26</v>
      </c>
      <c r="D488" s="3" t="s">
        <v>25</v>
      </c>
      <c r="E488" s="4">
        <v>16</v>
      </c>
      <c r="F488" s="4">
        <v>1668</v>
      </c>
      <c r="G488" s="3" t="s">
        <v>19</v>
      </c>
      <c r="H488">
        <v>26688</v>
      </c>
      <c r="I488">
        <v>17022.027610000001</v>
      </c>
      <c r="J488">
        <v>9665.9723919999997</v>
      </c>
      <c r="K488" s="5">
        <f>IF(Table1[[#This Row],[Revenue]]=0, 0, Table1[[#This Row],[Profit]]/Table1[[#This Row],[Revenue]])</f>
        <v>0.36218421732613909</v>
      </c>
    </row>
    <row r="489" spans="1:11" x14ac:dyDescent="0.35">
      <c r="A489" s="1">
        <v>45621</v>
      </c>
      <c r="B489" s="3" t="s">
        <v>27</v>
      </c>
      <c r="C489" s="3" t="s">
        <v>22</v>
      </c>
      <c r="D489" s="3" t="s">
        <v>12</v>
      </c>
      <c r="E489" s="4">
        <v>6</v>
      </c>
      <c r="F489" s="4">
        <v>1399</v>
      </c>
      <c r="G489" s="3" t="s">
        <v>13</v>
      </c>
      <c r="H489">
        <v>8394</v>
      </c>
      <c r="I489">
        <v>5627.8211609999998</v>
      </c>
      <c r="J489">
        <v>2766.1788390000002</v>
      </c>
      <c r="K489" s="5">
        <f>IF(Table1[[#This Row],[Revenue]]=0, 0, Table1[[#This Row],[Profit]]/Table1[[#This Row],[Revenue]])</f>
        <v>0.3295423920657613</v>
      </c>
    </row>
    <row r="490" spans="1:11" x14ac:dyDescent="0.35">
      <c r="A490" s="1">
        <v>45334</v>
      </c>
      <c r="B490" s="3" t="s">
        <v>23</v>
      </c>
      <c r="C490" s="3" t="s">
        <v>11</v>
      </c>
      <c r="D490" s="3" t="s">
        <v>30</v>
      </c>
      <c r="E490" s="4">
        <v>16</v>
      </c>
      <c r="F490" s="4">
        <v>1805</v>
      </c>
      <c r="G490" s="3" t="s">
        <v>13</v>
      </c>
      <c r="H490">
        <v>28880</v>
      </c>
      <c r="I490">
        <v>20283.48372</v>
      </c>
      <c r="J490">
        <v>8596.5162830000008</v>
      </c>
      <c r="K490" s="5">
        <f>IF(Table1[[#This Row],[Revenue]]=0, 0, Table1[[#This Row],[Profit]]/Table1[[#This Row],[Revenue]])</f>
        <v>0.29766330619806097</v>
      </c>
    </row>
    <row r="491" spans="1:11" x14ac:dyDescent="0.35">
      <c r="A491" s="1">
        <v>45335</v>
      </c>
      <c r="B491" s="3" t="s">
        <v>23</v>
      </c>
      <c r="C491" s="3" t="s">
        <v>28</v>
      </c>
      <c r="D491" s="3" t="s">
        <v>32</v>
      </c>
      <c r="E491" s="4">
        <v>14</v>
      </c>
      <c r="F491" s="4">
        <v>1263</v>
      </c>
      <c r="G491" s="3" t="s">
        <v>16</v>
      </c>
      <c r="H491">
        <v>17682</v>
      </c>
      <c r="I491">
        <v>11646.16128</v>
      </c>
      <c r="J491">
        <v>6035.8387229999998</v>
      </c>
      <c r="K491" s="5">
        <f>IF(Table1[[#This Row],[Revenue]]=0, 0, Table1[[#This Row],[Profit]]/Table1[[#This Row],[Revenue]])</f>
        <v>0.34135497811333559</v>
      </c>
    </row>
    <row r="492" spans="1:11" x14ac:dyDescent="0.35">
      <c r="A492" s="1">
        <v>45576</v>
      </c>
      <c r="B492" s="3" t="s">
        <v>27</v>
      </c>
      <c r="C492" s="3" t="s">
        <v>11</v>
      </c>
      <c r="D492" s="3" t="s">
        <v>29</v>
      </c>
      <c r="E492" s="4">
        <v>3</v>
      </c>
      <c r="F492" s="4">
        <v>456</v>
      </c>
      <c r="G492" s="3" t="s">
        <v>13</v>
      </c>
      <c r="H492">
        <v>1368</v>
      </c>
      <c r="I492">
        <v>882.41493030000004</v>
      </c>
      <c r="J492">
        <v>485.58506970000002</v>
      </c>
      <c r="K492" s="5">
        <f>IF(Table1[[#This Row],[Revenue]]=0, 0, Table1[[#This Row],[Profit]]/Table1[[#This Row],[Revenue]])</f>
        <v>0.35495984627192984</v>
      </c>
    </row>
    <row r="493" spans="1:11" x14ac:dyDescent="0.35">
      <c r="A493" s="1">
        <v>45303</v>
      </c>
      <c r="B493" s="3" t="s">
        <v>20</v>
      </c>
      <c r="C493" s="3" t="s">
        <v>11</v>
      </c>
      <c r="D493" s="3" t="s">
        <v>29</v>
      </c>
      <c r="E493" s="4">
        <v>15</v>
      </c>
      <c r="F493" s="4">
        <v>1836</v>
      </c>
      <c r="G493" s="3" t="s">
        <v>13</v>
      </c>
      <c r="H493">
        <v>27540</v>
      </c>
      <c r="I493">
        <v>17004.829979999999</v>
      </c>
      <c r="J493">
        <v>10535.17002</v>
      </c>
      <c r="K493" s="5">
        <f>IF(Table1[[#This Row],[Revenue]]=0, 0, Table1[[#This Row],[Profit]]/Table1[[#This Row],[Revenue]])</f>
        <v>0.3825406688453159</v>
      </c>
    </row>
    <row r="494" spans="1:11" x14ac:dyDescent="0.35">
      <c r="A494" s="1">
        <v>45386</v>
      </c>
      <c r="B494" s="3" t="s">
        <v>10</v>
      </c>
      <c r="C494" s="3" t="s">
        <v>17</v>
      </c>
      <c r="D494" s="3" t="s">
        <v>30</v>
      </c>
      <c r="E494" s="4">
        <v>3</v>
      </c>
      <c r="F494" s="4">
        <v>1146</v>
      </c>
      <c r="G494" s="3" t="s">
        <v>19</v>
      </c>
      <c r="H494">
        <v>3438</v>
      </c>
      <c r="I494">
        <v>2963.317986</v>
      </c>
      <c r="J494">
        <v>474.68201379999999</v>
      </c>
      <c r="K494" s="5">
        <f>IF(Table1[[#This Row],[Revenue]]=0, 0, Table1[[#This Row],[Profit]]/Table1[[#This Row],[Revenue]])</f>
        <v>0.13806923030831877</v>
      </c>
    </row>
    <row r="495" spans="1:11" x14ac:dyDescent="0.35">
      <c r="A495" s="1">
        <v>45593</v>
      </c>
      <c r="B495" s="3" t="s">
        <v>20</v>
      </c>
      <c r="C495" s="3" t="s">
        <v>26</v>
      </c>
      <c r="D495" s="3" t="s">
        <v>29</v>
      </c>
      <c r="E495" s="4">
        <v>2</v>
      </c>
      <c r="F495" s="4">
        <v>1859</v>
      </c>
      <c r="G495" s="3" t="s">
        <v>19</v>
      </c>
      <c r="H495">
        <v>3718</v>
      </c>
      <c r="I495">
        <v>2553.0874880000001</v>
      </c>
      <c r="J495">
        <v>1164.9125120000001</v>
      </c>
      <c r="K495" s="5">
        <f>IF(Table1[[#This Row],[Revenue]]=0, 0, Table1[[#This Row],[Profit]]/Table1[[#This Row],[Revenue]])</f>
        <v>0.31331697471759012</v>
      </c>
    </row>
    <row r="496" spans="1:11" x14ac:dyDescent="0.35">
      <c r="A496" s="1">
        <v>45544</v>
      </c>
      <c r="B496" s="3" t="s">
        <v>27</v>
      </c>
      <c r="C496" s="3" t="s">
        <v>14</v>
      </c>
      <c r="D496" s="3" t="s">
        <v>32</v>
      </c>
      <c r="E496" s="4">
        <v>1</v>
      </c>
      <c r="F496" s="4">
        <v>1393</v>
      </c>
      <c r="G496" s="3" t="s">
        <v>16</v>
      </c>
      <c r="H496">
        <v>1393</v>
      </c>
      <c r="I496">
        <v>957.12498040000003</v>
      </c>
      <c r="J496">
        <v>435.87501959999997</v>
      </c>
      <c r="K496" s="5">
        <f>IF(Table1[[#This Row],[Revenue]]=0, 0, Table1[[#This Row],[Profit]]/Table1[[#This Row],[Revenue]])</f>
        <v>0.31290381880832735</v>
      </c>
    </row>
    <row r="497" spans="1:11" x14ac:dyDescent="0.35">
      <c r="A497" s="1">
        <v>45533</v>
      </c>
      <c r="B497" s="3" t="s">
        <v>20</v>
      </c>
      <c r="C497" s="3" t="s">
        <v>14</v>
      </c>
      <c r="D497" s="3" t="s">
        <v>25</v>
      </c>
      <c r="E497" s="4">
        <v>9</v>
      </c>
      <c r="F497" s="4">
        <v>958</v>
      </c>
      <c r="G497" s="3" t="s">
        <v>16</v>
      </c>
      <c r="H497">
        <v>8622</v>
      </c>
      <c r="I497">
        <v>5706.6297000000004</v>
      </c>
      <c r="J497">
        <v>2915.3703</v>
      </c>
      <c r="K497" s="5">
        <f>IF(Table1[[#This Row],[Revenue]]=0, 0, Table1[[#This Row],[Profit]]/Table1[[#This Row],[Revenue]])</f>
        <v>0.33813155880306195</v>
      </c>
    </row>
    <row r="498" spans="1:11" x14ac:dyDescent="0.35">
      <c r="A498" s="1">
        <v>45326</v>
      </c>
      <c r="B498" s="3" t="s">
        <v>23</v>
      </c>
      <c r="C498" s="3" t="s">
        <v>28</v>
      </c>
      <c r="D498" s="3" t="s">
        <v>29</v>
      </c>
      <c r="E498" s="4">
        <v>9</v>
      </c>
      <c r="F498" s="4">
        <v>764</v>
      </c>
      <c r="G498" s="3" t="s">
        <v>16</v>
      </c>
      <c r="H498">
        <v>6876</v>
      </c>
      <c r="I498">
        <v>5106.249699</v>
      </c>
      <c r="J498">
        <v>1769.750301</v>
      </c>
      <c r="K498" s="5">
        <f>IF(Table1[[#This Row],[Revenue]]=0, 0, Table1[[#This Row],[Profit]]/Table1[[#This Row],[Revenue]])</f>
        <v>0.25738078839441536</v>
      </c>
    </row>
    <row r="499" spans="1:11" x14ac:dyDescent="0.35">
      <c r="A499" s="1">
        <v>45628</v>
      </c>
      <c r="B499" s="3" t="s">
        <v>27</v>
      </c>
      <c r="C499" s="3" t="s">
        <v>17</v>
      </c>
      <c r="D499" s="3" t="s">
        <v>21</v>
      </c>
      <c r="E499" s="4">
        <v>3</v>
      </c>
      <c r="F499" s="4">
        <v>1114</v>
      </c>
      <c r="G499" s="3" t="s">
        <v>19</v>
      </c>
      <c r="H499">
        <v>3342</v>
      </c>
      <c r="I499">
        <v>2214.0228900000002</v>
      </c>
      <c r="J499">
        <v>1127.97711</v>
      </c>
      <c r="K499" s="5">
        <f>IF(Table1[[#This Row],[Revenue]]=0, 0, Table1[[#This Row],[Profit]]/Table1[[#This Row],[Revenue]])</f>
        <v>0.33751559245960505</v>
      </c>
    </row>
    <row r="500" spans="1:11" x14ac:dyDescent="0.35">
      <c r="A500" s="1">
        <v>45381</v>
      </c>
      <c r="B500" s="3" t="s">
        <v>27</v>
      </c>
      <c r="C500" s="3" t="s">
        <v>31</v>
      </c>
      <c r="D500" s="3" t="s">
        <v>21</v>
      </c>
      <c r="E500" s="4">
        <v>18</v>
      </c>
      <c r="F500" s="4">
        <v>184</v>
      </c>
      <c r="G500" s="3" t="s">
        <v>19</v>
      </c>
      <c r="H500">
        <v>3312</v>
      </c>
      <c r="I500">
        <v>2591.8754880000001</v>
      </c>
      <c r="J500">
        <v>720.12451229999999</v>
      </c>
      <c r="K500" s="5">
        <f>IF(Table1[[#This Row],[Revenue]]=0, 0, Table1[[#This Row],[Profit]]/Table1[[#This Row],[Revenue]])</f>
        <v>0.21742889864130435</v>
      </c>
    </row>
    <row r="501" spans="1:11" x14ac:dyDescent="0.35">
      <c r="A501" s="1">
        <v>45555</v>
      </c>
      <c r="B501" s="3" t="s">
        <v>27</v>
      </c>
      <c r="C501" s="3" t="s">
        <v>22</v>
      </c>
      <c r="D501" s="3" t="s">
        <v>18</v>
      </c>
      <c r="E501" s="4">
        <v>11</v>
      </c>
      <c r="F501" s="4">
        <v>720</v>
      </c>
      <c r="G501" s="3" t="s">
        <v>13</v>
      </c>
      <c r="H501">
        <v>7920</v>
      </c>
      <c r="I501">
        <v>6469.8479040000002</v>
      </c>
      <c r="J501">
        <v>1450.152096</v>
      </c>
      <c r="K501" s="5">
        <f>IF(Table1[[#This Row],[Revenue]]=0, 0, Table1[[#This Row],[Profit]]/Table1[[#This Row],[Revenue]])</f>
        <v>0.18310001212121213</v>
      </c>
    </row>
    <row r="502" spans="1:11" x14ac:dyDescent="0.35">
      <c r="A502" s="1">
        <v>45384</v>
      </c>
      <c r="B502" s="3" t="s">
        <v>10</v>
      </c>
      <c r="C502" s="3" t="s">
        <v>24</v>
      </c>
      <c r="D502" s="3" t="s">
        <v>12</v>
      </c>
      <c r="E502" s="4">
        <v>7</v>
      </c>
      <c r="F502" s="4">
        <v>1154</v>
      </c>
      <c r="G502" s="3" t="s">
        <v>19</v>
      </c>
      <c r="H502">
        <v>8078</v>
      </c>
      <c r="I502">
        <v>5752.764064</v>
      </c>
      <c r="J502">
        <v>2325.235936</v>
      </c>
      <c r="K502" s="5">
        <f>IF(Table1[[#This Row],[Revenue]]=0, 0, Table1[[#This Row],[Profit]]/Table1[[#This Row],[Revenue]])</f>
        <v>0.28784797425105224</v>
      </c>
    </row>
    <row r="503" spans="1:11" x14ac:dyDescent="0.35">
      <c r="A503" s="1">
        <v>45381</v>
      </c>
      <c r="B503" s="3" t="s">
        <v>23</v>
      </c>
      <c r="C503" s="3" t="s">
        <v>22</v>
      </c>
      <c r="D503" s="3" t="s">
        <v>29</v>
      </c>
      <c r="E503" s="4">
        <v>9</v>
      </c>
      <c r="F503" s="4">
        <v>1864</v>
      </c>
      <c r="G503" s="3" t="s">
        <v>13</v>
      </c>
      <c r="H503">
        <v>16776</v>
      </c>
      <c r="I503">
        <v>13012.061299999999</v>
      </c>
      <c r="J503">
        <v>3763.9387000000002</v>
      </c>
      <c r="K503" s="5">
        <f>IF(Table1[[#This Row],[Revenue]]=0, 0, Table1[[#This Row],[Profit]]/Table1[[#This Row],[Revenue]])</f>
        <v>0.22436449093943731</v>
      </c>
    </row>
    <row r="504" spans="1:11" x14ac:dyDescent="0.35">
      <c r="A504" s="1">
        <v>45406</v>
      </c>
      <c r="B504" s="3" t="s">
        <v>27</v>
      </c>
      <c r="C504" s="3" t="s">
        <v>22</v>
      </c>
      <c r="D504" s="3" t="s">
        <v>12</v>
      </c>
      <c r="E504" s="4">
        <v>1</v>
      </c>
      <c r="F504" s="4">
        <v>339</v>
      </c>
      <c r="G504" s="3" t="s">
        <v>13</v>
      </c>
      <c r="H504">
        <v>339</v>
      </c>
      <c r="I504">
        <v>254.48410380000001</v>
      </c>
      <c r="J504">
        <v>84.515896240000004</v>
      </c>
      <c r="K504" s="5">
        <f>IF(Table1[[#This Row],[Revenue]]=0, 0, Table1[[#This Row],[Profit]]/Table1[[#This Row],[Revenue]])</f>
        <v>0.24930942843657819</v>
      </c>
    </row>
    <row r="505" spans="1:11" x14ac:dyDescent="0.35">
      <c r="A505" s="1">
        <v>45396</v>
      </c>
      <c r="B505" s="3" t="s">
        <v>20</v>
      </c>
      <c r="C505" s="3" t="s">
        <v>11</v>
      </c>
      <c r="D505" s="3" t="s">
        <v>25</v>
      </c>
      <c r="E505" s="4">
        <v>14</v>
      </c>
      <c r="F505" s="4">
        <v>462</v>
      </c>
      <c r="G505" s="3" t="s">
        <v>13</v>
      </c>
      <c r="H505">
        <v>6468</v>
      </c>
      <c r="I505">
        <v>4260.2421119999999</v>
      </c>
      <c r="J505">
        <v>2207.7578880000001</v>
      </c>
      <c r="K505" s="5">
        <f>IF(Table1[[#This Row],[Revenue]]=0, 0, Table1[[#This Row],[Profit]]/Table1[[#This Row],[Revenue]])</f>
        <v>0.34133548051948054</v>
      </c>
    </row>
    <row r="506" spans="1:11" x14ac:dyDescent="0.35">
      <c r="A506" s="1">
        <v>45487</v>
      </c>
      <c r="B506" s="3" t="s">
        <v>27</v>
      </c>
      <c r="C506" s="3" t="s">
        <v>22</v>
      </c>
      <c r="D506" s="3" t="s">
        <v>30</v>
      </c>
      <c r="E506" s="4">
        <v>6</v>
      </c>
      <c r="F506" s="4">
        <v>921</v>
      </c>
      <c r="G506" s="3" t="s">
        <v>13</v>
      </c>
      <c r="H506">
        <v>5526</v>
      </c>
      <c r="I506">
        <v>4525.8122169999997</v>
      </c>
      <c r="J506">
        <v>1000.187783</v>
      </c>
      <c r="K506" s="5">
        <f>IF(Table1[[#This Row],[Revenue]]=0, 0, Table1[[#This Row],[Profit]]/Table1[[#This Row],[Revenue]])</f>
        <v>0.18099670340209917</v>
      </c>
    </row>
    <row r="507" spans="1:11" x14ac:dyDescent="0.35">
      <c r="A507" s="1">
        <v>45605</v>
      </c>
      <c r="B507" s="3" t="s">
        <v>27</v>
      </c>
      <c r="C507" s="3" t="s">
        <v>14</v>
      </c>
      <c r="D507" s="3" t="s">
        <v>29</v>
      </c>
      <c r="E507" s="4">
        <v>7</v>
      </c>
      <c r="F507" s="4">
        <v>1512</v>
      </c>
      <c r="G507" s="3" t="s">
        <v>16</v>
      </c>
      <c r="H507">
        <v>10584</v>
      </c>
      <c r="I507">
        <v>8895.1736540000002</v>
      </c>
      <c r="J507">
        <v>1688.8263460000001</v>
      </c>
      <c r="K507" s="5">
        <f>IF(Table1[[#This Row],[Revenue]]=0, 0, Table1[[#This Row],[Profit]]/Table1[[#This Row],[Revenue]])</f>
        <v>0.15956409164777022</v>
      </c>
    </row>
    <row r="508" spans="1:11" x14ac:dyDescent="0.35">
      <c r="A508" s="1">
        <v>45405</v>
      </c>
      <c r="B508" s="3" t="s">
        <v>27</v>
      </c>
      <c r="C508" s="3" t="s">
        <v>24</v>
      </c>
      <c r="D508" s="3" t="s">
        <v>15</v>
      </c>
      <c r="E508" s="4">
        <v>10</v>
      </c>
      <c r="F508" s="4">
        <v>1776</v>
      </c>
      <c r="G508" s="3" t="s">
        <v>19</v>
      </c>
      <c r="H508">
        <v>17760</v>
      </c>
      <c r="I508">
        <v>14112.76972</v>
      </c>
      <c r="J508">
        <v>3647.2302800000002</v>
      </c>
      <c r="K508" s="5">
        <f>IF(Table1[[#This Row],[Revenue]]=0, 0, Table1[[#This Row],[Profit]]/Table1[[#This Row],[Revenue]])</f>
        <v>0.20536206531531534</v>
      </c>
    </row>
    <row r="509" spans="1:11" x14ac:dyDescent="0.35">
      <c r="A509" s="1">
        <v>45366</v>
      </c>
      <c r="B509" s="3" t="s">
        <v>43</v>
      </c>
      <c r="C509" s="3" t="s">
        <v>24</v>
      </c>
      <c r="D509" s="3" t="s">
        <v>32</v>
      </c>
      <c r="E509" s="4">
        <v>7</v>
      </c>
      <c r="F509" s="4">
        <v>767</v>
      </c>
      <c r="G509" s="3" t="s">
        <v>19</v>
      </c>
      <c r="H509">
        <v>5369</v>
      </c>
      <c r="I509">
        <v>3743.0993319999998</v>
      </c>
      <c r="J509">
        <v>1625.900668</v>
      </c>
      <c r="K509" s="5">
        <f>IF(Table1[[#This Row],[Revenue]]=0, 0, Table1[[#This Row],[Profit]]/Table1[[#This Row],[Revenue]])</f>
        <v>0.3028311916558018</v>
      </c>
    </row>
    <row r="510" spans="1:11" x14ac:dyDescent="0.35">
      <c r="A510" s="1">
        <v>45508</v>
      </c>
      <c r="B510" s="3" t="s">
        <v>23</v>
      </c>
      <c r="C510" s="3" t="s">
        <v>26</v>
      </c>
      <c r="D510" s="3" t="s">
        <v>29</v>
      </c>
      <c r="E510" s="4">
        <v>2</v>
      </c>
      <c r="F510" s="4">
        <v>1422</v>
      </c>
      <c r="G510" s="3" t="s">
        <v>19</v>
      </c>
      <c r="H510">
        <v>2844</v>
      </c>
      <c r="I510">
        <v>2497.1393560000001</v>
      </c>
      <c r="J510">
        <v>346.86064379999999</v>
      </c>
      <c r="K510" s="5">
        <f>IF(Table1[[#This Row],[Revenue]]=0, 0, Table1[[#This Row],[Profit]]/Table1[[#This Row],[Revenue]])</f>
        <v>0.12196225168776371</v>
      </c>
    </row>
    <row r="511" spans="1:11" x14ac:dyDescent="0.35">
      <c r="A511" s="1">
        <v>45568</v>
      </c>
      <c r="B511" s="3" t="s">
        <v>20</v>
      </c>
      <c r="C511" s="3" t="s">
        <v>22</v>
      </c>
      <c r="D511" s="3" t="s">
        <v>29</v>
      </c>
      <c r="E511" s="4">
        <v>4</v>
      </c>
      <c r="F511" s="4">
        <v>1980</v>
      </c>
      <c r="G511" s="3" t="s">
        <v>13</v>
      </c>
      <c r="H511">
        <v>7920</v>
      </c>
      <c r="I511">
        <v>5833.9315299999998</v>
      </c>
      <c r="J511">
        <v>2086.0684700000002</v>
      </c>
      <c r="K511" s="5">
        <f>IF(Table1[[#This Row],[Revenue]]=0, 0, Table1[[#This Row],[Profit]]/Table1[[#This Row],[Revenue]])</f>
        <v>0.26339248358585859</v>
      </c>
    </row>
    <row r="512" spans="1:11" x14ac:dyDescent="0.35">
      <c r="A512" s="1">
        <v>45455</v>
      </c>
      <c r="B512" s="3" t="s">
        <v>20</v>
      </c>
      <c r="C512" s="3" t="s">
        <v>22</v>
      </c>
      <c r="D512" s="3" t="s">
        <v>12</v>
      </c>
      <c r="E512" s="4">
        <v>1</v>
      </c>
      <c r="F512" s="4">
        <v>198</v>
      </c>
      <c r="G512" s="3" t="s">
        <v>13</v>
      </c>
      <c r="H512">
        <v>198</v>
      </c>
      <c r="I512">
        <v>143.0491365</v>
      </c>
      <c r="J512">
        <v>54.950863519999999</v>
      </c>
      <c r="K512" s="5">
        <f>IF(Table1[[#This Row],[Revenue]]=0, 0, Table1[[#This Row],[Profit]]/Table1[[#This Row],[Revenue]])</f>
        <v>0.27752961373737373</v>
      </c>
    </row>
    <row r="513" spans="1:11" x14ac:dyDescent="0.35">
      <c r="A513" s="1">
        <v>45648</v>
      </c>
      <c r="B513" s="3" t="s">
        <v>27</v>
      </c>
      <c r="C513" s="3" t="s">
        <v>31</v>
      </c>
      <c r="D513" s="3" t="s">
        <v>21</v>
      </c>
      <c r="E513" s="4">
        <v>10</v>
      </c>
      <c r="F513" s="4">
        <v>146</v>
      </c>
      <c r="G513" s="3" t="s">
        <v>19</v>
      </c>
      <c r="H513">
        <v>1460</v>
      </c>
      <c r="I513">
        <v>1179.12889</v>
      </c>
      <c r="J513">
        <v>280.87110969999998</v>
      </c>
      <c r="K513" s="5">
        <f>IF(Table1[[#This Row],[Revenue]]=0, 0, Table1[[#This Row],[Profit]]/Table1[[#This Row],[Revenue]])</f>
        <v>0.19237747239726025</v>
      </c>
    </row>
    <row r="514" spans="1:11" x14ac:dyDescent="0.35">
      <c r="A514" s="1">
        <v>45483</v>
      </c>
      <c r="B514" s="3" t="s">
        <v>10</v>
      </c>
      <c r="C514" s="3" t="s">
        <v>31</v>
      </c>
      <c r="D514" s="3" t="s">
        <v>32</v>
      </c>
      <c r="E514" s="4">
        <v>19</v>
      </c>
      <c r="F514" s="4">
        <v>938</v>
      </c>
      <c r="G514" s="3" t="s">
        <v>19</v>
      </c>
      <c r="H514">
        <v>17822</v>
      </c>
      <c r="I514">
        <v>15216.05889</v>
      </c>
      <c r="J514">
        <v>2605.9411150000001</v>
      </c>
      <c r="K514" s="5">
        <f>IF(Table1[[#This Row],[Revenue]]=0, 0, Table1[[#This Row],[Profit]]/Table1[[#This Row],[Revenue]])</f>
        <v>0.1462204643137695</v>
      </c>
    </row>
    <row r="515" spans="1:11" x14ac:dyDescent="0.35">
      <c r="A515" s="1">
        <v>45518</v>
      </c>
      <c r="B515" s="3" t="s">
        <v>23</v>
      </c>
      <c r="C515" s="3" t="s">
        <v>11</v>
      </c>
      <c r="D515" s="3" t="s">
        <v>30</v>
      </c>
      <c r="E515" s="4">
        <v>15</v>
      </c>
      <c r="F515" s="4">
        <v>521</v>
      </c>
      <c r="G515" s="3" t="s">
        <v>13</v>
      </c>
      <c r="H515">
        <v>7815</v>
      </c>
      <c r="I515">
        <v>5524.991258</v>
      </c>
      <c r="J515">
        <v>2290.008742</v>
      </c>
      <c r="K515" s="5">
        <f>IF(Table1[[#This Row],[Revenue]]=0, 0, Table1[[#This Row],[Profit]]/Table1[[#This Row],[Revenue]])</f>
        <v>0.29302735022392834</v>
      </c>
    </row>
    <row r="516" spans="1:11" x14ac:dyDescent="0.35">
      <c r="A516" s="1">
        <v>45468</v>
      </c>
      <c r="B516" s="3" t="s">
        <v>10</v>
      </c>
      <c r="C516" s="3" t="s">
        <v>26</v>
      </c>
      <c r="D516" s="3" t="s">
        <v>29</v>
      </c>
      <c r="E516" s="4">
        <v>10</v>
      </c>
      <c r="F516" s="4">
        <v>1603</v>
      </c>
      <c r="G516" s="3" t="s">
        <v>19</v>
      </c>
      <c r="H516">
        <v>16030</v>
      </c>
      <c r="I516">
        <v>10736.69096</v>
      </c>
      <c r="J516">
        <v>5293.3090389999998</v>
      </c>
      <c r="K516" s="5">
        <f>IF(Table1[[#This Row],[Revenue]]=0, 0, Table1[[#This Row],[Profit]]/Table1[[#This Row],[Revenue]])</f>
        <v>0.33021266618839673</v>
      </c>
    </row>
    <row r="517" spans="1:11" x14ac:dyDescent="0.35">
      <c r="A517" s="1">
        <v>45390</v>
      </c>
      <c r="B517" s="3" t="s">
        <v>23</v>
      </c>
      <c r="C517" s="3" t="s">
        <v>26</v>
      </c>
      <c r="D517" s="3" t="s">
        <v>21</v>
      </c>
      <c r="E517" s="4">
        <v>19</v>
      </c>
      <c r="F517" s="4">
        <v>1702</v>
      </c>
      <c r="G517" s="3" t="s">
        <v>19</v>
      </c>
      <c r="H517">
        <v>32338</v>
      </c>
      <c r="I517">
        <v>25480.660469999999</v>
      </c>
      <c r="J517">
        <v>6857.3395309999996</v>
      </c>
      <c r="K517" s="5">
        <f>IF(Table1[[#This Row],[Revenue]]=0, 0, Table1[[#This Row],[Profit]]/Table1[[#This Row],[Revenue]])</f>
        <v>0.21205206045519201</v>
      </c>
    </row>
    <row r="518" spans="1:11" x14ac:dyDescent="0.35">
      <c r="A518" s="1">
        <v>45327</v>
      </c>
      <c r="B518" s="3" t="s">
        <v>27</v>
      </c>
      <c r="C518" s="3" t="s">
        <v>24</v>
      </c>
      <c r="D518" s="3" t="s">
        <v>12</v>
      </c>
      <c r="E518" s="4">
        <v>12</v>
      </c>
      <c r="F518" s="4">
        <v>161</v>
      </c>
      <c r="G518" s="3" t="s">
        <v>19</v>
      </c>
      <c r="H518">
        <v>1932</v>
      </c>
      <c r="I518">
        <v>1693.136272</v>
      </c>
      <c r="J518">
        <v>238.86372800000001</v>
      </c>
      <c r="K518" s="5">
        <f>IF(Table1[[#This Row],[Revenue]]=0, 0, Table1[[#This Row],[Profit]]/Table1[[#This Row],[Revenue]])</f>
        <v>0.12363546997929607</v>
      </c>
    </row>
    <row r="519" spans="1:11" x14ac:dyDescent="0.35">
      <c r="A519" s="1">
        <v>45387</v>
      </c>
      <c r="B519" s="3" t="s">
        <v>23</v>
      </c>
      <c r="C519" s="3" t="s">
        <v>24</v>
      </c>
      <c r="D519" s="3" t="s">
        <v>18</v>
      </c>
      <c r="E519" s="4">
        <v>16</v>
      </c>
      <c r="F519" s="4">
        <v>1232</v>
      </c>
      <c r="G519" s="3" t="s">
        <v>19</v>
      </c>
      <c r="H519">
        <v>19712</v>
      </c>
      <c r="I519">
        <v>12911.12363</v>
      </c>
      <c r="J519">
        <v>6800.8763650000001</v>
      </c>
      <c r="K519" s="5">
        <f>IF(Table1[[#This Row],[Revenue]]=0, 0, Table1[[#This Row],[Profit]]/Table1[[#This Row],[Revenue]])</f>
        <v>0.34501199091923701</v>
      </c>
    </row>
    <row r="520" spans="1:11" x14ac:dyDescent="0.35">
      <c r="A520" s="1">
        <v>45443</v>
      </c>
      <c r="B520" s="3" t="s">
        <v>27</v>
      </c>
      <c r="C520" s="3" t="s">
        <v>17</v>
      </c>
      <c r="D520" s="3" t="s">
        <v>32</v>
      </c>
      <c r="E520" s="4">
        <v>9</v>
      </c>
      <c r="F520" s="4">
        <v>1802</v>
      </c>
      <c r="G520" s="3" t="s">
        <v>19</v>
      </c>
      <c r="H520">
        <v>16218</v>
      </c>
      <c r="I520">
        <v>13637.8105</v>
      </c>
      <c r="J520">
        <v>2580.1894969999998</v>
      </c>
      <c r="K520" s="5">
        <f>IF(Table1[[#This Row],[Revenue]]=0, 0, Table1[[#This Row],[Profit]]/Table1[[#This Row],[Revenue]])</f>
        <v>0.15909418528795166</v>
      </c>
    </row>
    <row r="521" spans="1:11" x14ac:dyDescent="0.35">
      <c r="A521" s="1">
        <v>45442</v>
      </c>
      <c r="B521" s="3" t="s">
        <v>23</v>
      </c>
      <c r="C521" s="3" t="s">
        <v>11</v>
      </c>
      <c r="D521" s="3" t="s">
        <v>21</v>
      </c>
      <c r="E521" s="4">
        <v>15</v>
      </c>
      <c r="F521" s="4">
        <v>1672</v>
      </c>
      <c r="G521" s="3" t="s">
        <v>13</v>
      </c>
      <c r="H521">
        <v>25080</v>
      </c>
      <c r="I521">
        <v>18633.992429999998</v>
      </c>
      <c r="J521">
        <v>6446.0075660000002</v>
      </c>
      <c r="K521" s="5">
        <f>IF(Table1[[#This Row],[Revenue]]=0, 0, Table1[[#This Row],[Profit]]/Table1[[#This Row],[Revenue]])</f>
        <v>0.2570178455342903</v>
      </c>
    </row>
    <row r="522" spans="1:11" x14ac:dyDescent="0.35">
      <c r="A522" s="1">
        <v>45481</v>
      </c>
      <c r="B522" s="3" t="s">
        <v>27</v>
      </c>
      <c r="C522" s="3" t="s">
        <v>22</v>
      </c>
      <c r="D522" s="3" t="s">
        <v>21</v>
      </c>
      <c r="E522" s="4">
        <v>17</v>
      </c>
      <c r="F522" s="4">
        <v>1242</v>
      </c>
      <c r="G522" s="3" t="s">
        <v>13</v>
      </c>
      <c r="H522">
        <v>21114</v>
      </c>
      <c r="I522">
        <v>17732.6721</v>
      </c>
      <c r="J522">
        <v>3381.3278970000001</v>
      </c>
      <c r="K522" s="5">
        <f>IF(Table1[[#This Row],[Revenue]]=0, 0, Table1[[#This Row],[Profit]]/Table1[[#This Row],[Revenue]])</f>
        <v>0.16014624879227055</v>
      </c>
    </row>
    <row r="523" spans="1:11" x14ac:dyDescent="0.35">
      <c r="A523" s="1">
        <v>45515</v>
      </c>
      <c r="B523" s="3" t="s">
        <v>27</v>
      </c>
      <c r="C523" s="3" t="s">
        <v>28</v>
      </c>
      <c r="D523" s="3" t="s">
        <v>25</v>
      </c>
      <c r="E523" s="4">
        <v>14</v>
      </c>
      <c r="F523" s="4">
        <v>1109</v>
      </c>
      <c r="G523" s="3" t="s">
        <v>16</v>
      </c>
      <c r="H523">
        <v>15526</v>
      </c>
      <c r="I523">
        <v>11670.309569999999</v>
      </c>
      <c r="J523">
        <v>3855.6904330000002</v>
      </c>
      <c r="K523" s="5">
        <f>IF(Table1[[#This Row],[Revenue]]=0, 0, Table1[[#This Row],[Profit]]/Table1[[#This Row],[Revenue]])</f>
        <v>0.24833765509467989</v>
      </c>
    </row>
    <row r="524" spans="1:11" x14ac:dyDescent="0.35">
      <c r="A524" s="1">
        <v>45328</v>
      </c>
      <c r="B524" s="3" t="s">
        <v>20</v>
      </c>
      <c r="C524" s="3" t="s">
        <v>11</v>
      </c>
      <c r="D524" s="3" t="s">
        <v>21</v>
      </c>
      <c r="E524" s="4">
        <v>18</v>
      </c>
      <c r="F524" s="4">
        <v>697</v>
      </c>
      <c r="G524" s="3" t="s">
        <v>13</v>
      </c>
      <c r="H524">
        <v>12546</v>
      </c>
      <c r="I524">
        <v>8947.7862769999992</v>
      </c>
      <c r="J524">
        <v>3598.2137229999998</v>
      </c>
      <c r="K524" s="5">
        <f>IF(Table1[[#This Row],[Revenue]]=0, 0, Table1[[#This Row],[Profit]]/Table1[[#This Row],[Revenue]])</f>
        <v>0.28680166770285348</v>
      </c>
    </row>
    <row r="525" spans="1:11" x14ac:dyDescent="0.35">
      <c r="A525" s="1">
        <v>45474</v>
      </c>
      <c r="B525" s="3" t="s">
        <v>20</v>
      </c>
      <c r="C525" s="3" t="s">
        <v>24</v>
      </c>
      <c r="D525" s="3" t="s">
        <v>29</v>
      </c>
      <c r="E525" s="4">
        <v>4</v>
      </c>
      <c r="F525" s="4">
        <v>491</v>
      </c>
      <c r="G525" s="3" t="s">
        <v>19</v>
      </c>
      <c r="H525">
        <v>1964</v>
      </c>
      <c r="I525">
        <v>1709.049602</v>
      </c>
      <c r="J525">
        <v>254.95039800000001</v>
      </c>
      <c r="K525" s="5">
        <f>IF(Table1[[#This Row],[Revenue]]=0, 0, Table1[[#This Row],[Profit]]/Table1[[#This Row],[Revenue]])</f>
        <v>0.1298118116089613</v>
      </c>
    </row>
    <row r="526" spans="1:11" x14ac:dyDescent="0.35">
      <c r="A526" s="1">
        <v>45304</v>
      </c>
      <c r="B526" s="3" t="s">
        <v>27</v>
      </c>
      <c r="C526" s="3" t="s">
        <v>11</v>
      </c>
      <c r="D526" s="3" t="s">
        <v>29</v>
      </c>
      <c r="E526" s="4">
        <v>18</v>
      </c>
      <c r="F526" s="4">
        <v>1076</v>
      </c>
      <c r="G526" s="3" t="s">
        <v>13</v>
      </c>
      <c r="H526">
        <v>19368</v>
      </c>
      <c r="I526">
        <v>13481.59065</v>
      </c>
      <c r="J526">
        <v>5886.4093460000004</v>
      </c>
      <c r="K526" s="5">
        <f>IF(Table1[[#This Row],[Revenue]]=0, 0, Table1[[#This Row],[Profit]]/Table1[[#This Row],[Revenue]])</f>
        <v>0.30392448089632385</v>
      </c>
    </row>
    <row r="527" spans="1:11" x14ac:dyDescent="0.35">
      <c r="A527" s="1">
        <v>45570</v>
      </c>
      <c r="B527" s="3" t="s">
        <v>10</v>
      </c>
      <c r="C527" s="3" t="s">
        <v>11</v>
      </c>
      <c r="D527" s="3" t="s">
        <v>12</v>
      </c>
      <c r="E527" s="4">
        <v>7</v>
      </c>
      <c r="F527" s="4">
        <v>1175</v>
      </c>
      <c r="G527" s="3" t="s">
        <v>13</v>
      </c>
      <c r="H527">
        <v>8225</v>
      </c>
      <c r="I527">
        <v>6071.8960230000002</v>
      </c>
      <c r="J527">
        <v>2153.1039770000002</v>
      </c>
      <c r="K527" s="5">
        <f>IF(Table1[[#This Row],[Revenue]]=0, 0, Table1[[#This Row],[Profit]]/Table1[[#This Row],[Revenue]])</f>
        <v>0.26177555951367781</v>
      </c>
    </row>
    <row r="528" spans="1:11" x14ac:dyDescent="0.35">
      <c r="A528" s="1">
        <v>45508</v>
      </c>
      <c r="B528" s="3" t="s">
        <v>27</v>
      </c>
      <c r="C528" s="3" t="s">
        <v>24</v>
      </c>
      <c r="D528" s="3" t="s">
        <v>18</v>
      </c>
      <c r="E528" s="4">
        <v>13</v>
      </c>
      <c r="F528" s="4">
        <v>702</v>
      </c>
      <c r="G528" s="3" t="s">
        <v>19</v>
      </c>
      <c r="H528">
        <v>9126</v>
      </c>
      <c r="I528">
        <v>6103.6530359999997</v>
      </c>
      <c r="J528">
        <v>3022.3469639999998</v>
      </c>
      <c r="K528" s="5">
        <f>IF(Table1[[#This Row],[Revenue]]=0, 0, Table1[[#This Row],[Profit]]/Table1[[#This Row],[Revenue]])</f>
        <v>0.33117981196581192</v>
      </c>
    </row>
    <row r="529" spans="1:11" x14ac:dyDescent="0.35">
      <c r="A529" s="1">
        <v>45646</v>
      </c>
      <c r="B529" s="3" t="s">
        <v>10</v>
      </c>
      <c r="C529" s="3" t="s">
        <v>14</v>
      </c>
      <c r="D529" s="3" t="s">
        <v>15</v>
      </c>
      <c r="E529" s="4">
        <v>15</v>
      </c>
      <c r="F529" s="4">
        <v>1412</v>
      </c>
      <c r="G529" s="3" t="s">
        <v>16</v>
      </c>
      <c r="H529">
        <v>21180</v>
      </c>
      <c r="I529">
        <v>13873.38373</v>
      </c>
      <c r="J529">
        <v>7306.6162679999998</v>
      </c>
      <c r="K529" s="5">
        <f>IF(Table1[[#This Row],[Revenue]]=0, 0, Table1[[#This Row],[Profit]]/Table1[[#This Row],[Revenue]])</f>
        <v>0.34497716090651559</v>
      </c>
    </row>
    <row r="530" spans="1:11" x14ac:dyDescent="0.35">
      <c r="A530" s="1">
        <v>45652</v>
      </c>
      <c r="B530" s="3" t="s">
        <v>10</v>
      </c>
      <c r="C530" s="3" t="s">
        <v>17</v>
      </c>
      <c r="D530" s="3" t="s">
        <v>15</v>
      </c>
      <c r="E530" s="4">
        <v>1</v>
      </c>
      <c r="F530" s="4">
        <v>436</v>
      </c>
      <c r="G530" s="3" t="s">
        <v>19</v>
      </c>
      <c r="H530">
        <v>436</v>
      </c>
      <c r="I530">
        <v>363.34803060000002</v>
      </c>
      <c r="J530">
        <v>72.651969379999997</v>
      </c>
      <c r="K530" s="5">
        <f>IF(Table1[[#This Row],[Revenue]]=0, 0, Table1[[#This Row],[Profit]]/Table1[[#This Row],[Revenue]])</f>
        <v>0.16663295729357797</v>
      </c>
    </row>
    <row r="531" spans="1:11" x14ac:dyDescent="0.35">
      <c r="A531" s="1">
        <v>45577</v>
      </c>
      <c r="B531" s="3" t="s">
        <v>27</v>
      </c>
      <c r="C531" s="3" t="s">
        <v>24</v>
      </c>
      <c r="D531" s="3" t="s">
        <v>15</v>
      </c>
      <c r="E531" s="4">
        <v>11</v>
      </c>
      <c r="F531" s="4">
        <v>909</v>
      </c>
      <c r="G531" s="3" t="s">
        <v>19</v>
      </c>
      <c r="H531">
        <v>9999</v>
      </c>
      <c r="I531">
        <v>6601.3321509999996</v>
      </c>
      <c r="J531">
        <v>3397.6678489999999</v>
      </c>
      <c r="K531" s="5">
        <f>IF(Table1[[#This Row],[Revenue]]=0, 0, Table1[[#This Row],[Profit]]/Table1[[#This Row],[Revenue]])</f>
        <v>0.33980076497649764</v>
      </c>
    </row>
    <row r="532" spans="1:11" x14ac:dyDescent="0.35">
      <c r="A532" s="1">
        <v>45564</v>
      </c>
      <c r="B532" s="3" t="s">
        <v>10</v>
      </c>
      <c r="C532" s="3" t="s">
        <v>26</v>
      </c>
      <c r="D532" s="3" t="s">
        <v>12</v>
      </c>
      <c r="E532" s="4">
        <v>10</v>
      </c>
      <c r="F532" s="4">
        <v>1327</v>
      </c>
      <c r="G532" s="3" t="s">
        <v>19</v>
      </c>
      <c r="H532">
        <v>13270</v>
      </c>
      <c r="I532">
        <v>11120.199640000001</v>
      </c>
      <c r="J532">
        <v>2149.8003600000002</v>
      </c>
      <c r="K532" s="5">
        <f>IF(Table1[[#This Row],[Revenue]]=0, 0, Table1[[#This Row],[Profit]]/Table1[[#This Row],[Revenue]])</f>
        <v>0.16200454860587793</v>
      </c>
    </row>
    <row r="533" spans="1:11" x14ac:dyDescent="0.35">
      <c r="A533" s="1">
        <v>45353</v>
      </c>
      <c r="B533" s="3" t="s">
        <v>20</v>
      </c>
      <c r="C533" s="3" t="s">
        <v>22</v>
      </c>
      <c r="D533" s="3" t="s">
        <v>25</v>
      </c>
      <c r="E533" s="4">
        <v>5</v>
      </c>
      <c r="F533" s="4">
        <v>1361</v>
      </c>
      <c r="G533" s="3" t="s">
        <v>13</v>
      </c>
      <c r="H533">
        <v>6805</v>
      </c>
      <c r="I533">
        <v>4959.2466109999996</v>
      </c>
      <c r="J533">
        <v>1845.753389</v>
      </c>
      <c r="K533" s="5">
        <f>IF(Table1[[#This Row],[Revenue]]=0, 0, Table1[[#This Row],[Profit]]/Table1[[#This Row],[Revenue]])</f>
        <v>0.27123488449669358</v>
      </c>
    </row>
    <row r="534" spans="1:11" x14ac:dyDescent="0.35">
      <c r="A534" s="1">
        <v>45375</v>
      </c>
      <c r="B534" s="3" t="s">
        <v>23</v>
      </c>
      <c r="C534" s="3" t="s">
        <v>24</v>
      </c>
      <c r="D534" s="3" t="s">
        <v>12</v>
      </c>
      <c r="E534" s="4">
        <v>16</v>
      </c>
      <c r="F534" s="4">
        <v>1505</v>
      </c>
      <c r="G534" s="3" t="s">
        <v>19</v>
      </c>
      <c r="H534">
        <v>24080</v>
      </c>
      <c r="I534">
        <v>21636.23198</v>
      </c>
      <c r="J534">
        <v>2443.7680220000002</v>
      </c>
      <c r="K534" s="5">
        <f>IF(Table1[[#This Row],[Revenue]]=0, 0, Table1[[#This Row],[Profit]]/Table1[[#This Row],[Revenue]])</f>
        <v>0.10148538297342194</v>
      </c>
    </row>
    <row r="535" spans="1:11" x14ac:dyDescent="0.35">
      <c r="A535" s="1">
        <v>45508</v>
      </c>
      <c r="B535" s="3" t="s">
        <v>27</v>
      </c>
      <c r="C535" s="3" t="s">
        <v>17</v>
      </c>
      <c r="D535" s="3" t="s">
        <v>32</v>
      </c>
      <c r="E535" s="4">
        <v>11</v>
      </c>
      <c r="F535" s="4">
        <v>1790</v>
      </c>
      <c r="G535" s="3" t="s">
        <v>19</v>
      </c>
      <c r="H535">
        <v>19690</v>
      </c>
      <c r="I535">
        <v>12979.695760000001</v>
      </c>
      <c r="J535">
        <v>6710.3042429999996</v>
      </c>
      <c r="K535" s="5">
        <f>IF(Table1[[#This Row],[Revenue]]=0, 0, Table1[[#This Row],[Profit]]/Table1[[#This Row],[Revenue]])</f>
        <v>0.34079757455561194</v>
      </c>
    </row>
    <row r="536" spans="1:11" x14ac:dyDescent="0.35">
      <c r="A536" s="1">
        <v>45633</v>
      </c>
      <c r="B536" s="3" t="s">
        <v>10</v>
      </c>
      <c r="C536" s="3" t="s">
        <v>31</v>
      </c>
      <c r="D536" s="3" t="s">
        <v>32</v>
      </c>
      <c r="E536" s="4">
        <v>6</v>
      </c>
      <c r="F536" s="4">
        <v>851</v>
      </c>
      <c r="G536" s="3" t="s">
        <v>19</v>
      </c>
      <c r="H536">
        <v>5106</v>
      </c>
      <c r="I536">
        <v>3206.0236890000001</v>
      </c>
      <c r="J536">
        <v>1899.9763109999999</v>
      </c>
      <c r="K536" s="5">
        <f>IF(Table1[[#This Row],[Revenue]]=0, 0, Table1[[#This Row],[Profit]]/Table1[[#This Row],[Revenue]])</f>
        <v>0.37210660223266745</v>
      </c>
    </row>
    <row r="537" spans="1:11" x14ac:dyDescent="0.35">
      <c r="A537" s="1">
        <v>45478</v>
      </c>
      <c r="B537" s="3" t="s">
        <v>27</v>
      </c>
      <c r="C537" s="3" t="s">
        <v>26</v>
      </c>
      <c r="D537" s="3" t="s">
        <v>18</v>
      </c>
      <c r="E537" s="4">
        <v>9</v>
      </c>
      <c r="F537" s="4">
        <v>1259</v>
      </c>
      <c r="G537" s="3" t="s">
        <v>19</v>
      </c>
      <c r="H537">
        <v>11331</v>
      </c>
      <c r="I537">
        <v>7055.0196340000002</v>
      </c>
      <c r="J537">
        <v>4275.9803659999998</v>
      </c>
      <c r="K537" s="5">
        <f>IF(Table1[[#This Row],[Revenue]]=0, 0, Table1[[#This Row],[Profit]]/Table1[[#This Row],[Revenue]])</f>
        <v>0.37737007907510367</v>
      </c>
    </row>
    <row r="538" spans="1:11" x14ac:dyDescent="0.35">
      <c r="A538" s="1">
        <v>45310</v>
      </c>
      <c r="B538" s="3" t="s">
        <v>20</v>
      </c>
      <c r="C538" s="3" t="s">
        <v>31</v>
      </c>
      <c r="D538" s="3" t="s">
        <v>32</v>
      </c>
      <c r="E538" s="4">
        <v>13</v>
      </c>
      <c r="F538" s="4">
        <v>1530</v>
      </c>
      <c r="G538" s="3" t="s">
        <v>19</v>
      </c>
      <c r="H538">
        <v>19890</v>
      </c>
      <c r="I538">
        <v>16918.93923</v>
      </c>
      <c r="J538">
        <v>2971.0607660000001</v>
      </c>
      <c r="K538" s="5">
        <f>IF(Table1[[#This Row],[Revenue]]=0, 0, Table1[[#This Row],[Profit]]/Table1[[#This Row],[Revenue]])</f>
        <v>0.14937459859225741</v>
      </c>
    </row>
    <row r="539" spans="1:11" x14ac:dyDescent="0.35">
      <c r="A539" s="1">
        <v>45468</v>
      </c>
      <c r="B539" s="3" t="s">
        <v>27</v>
      </c>
      <c r="C539" s="3" t="s">
        <v>28</v>
      </c>
      <c r="D539" s="3" t="s">
        <v>15</v>
      </c>
      <c r="E539" s="4">
        <v>8</v>
      </c>
      <c r="F539" s="4">
        <v>1631</v>
      </c>
      <c r="G539" s="3" t="s">
        <v>16</v>
      </c>
      <c r="H539">
        <v>13048</v>
      </c>
      <c r="I539">
        <v>9542.4315920000008</v>
      </c>
      <c r="J539">
        <v>3505.5684080000001</v>
      </c>
      <c r="K539" s="5">
        <f>IF(Table1[[#This Row],[Revenue]]=0, 0, Table1[[#This Row],[Profit]]/Table1[[#This Row],[Revenue]])</f>
        <v>0.26866710668301658</v>
      </c>
    </row>
    <row r="540" spans="1:11" x14ac:dyDescent="0.35">
      <c r="A540" s="1">
        <v>45391</v>
      </c>
      <c r="B540" s="3" t="s">
        <v>27</v>
      </c>
      <c r="C540" s="3" t="s">
        <v>24</v>
      </c>
      <c r="D540" s="3" t="s">
        <v>15</v>
      </c>
      <c r="E540" s="4">
        <v>14</v>
      </c>
      <c r="F540" s="4">
        <v>1485</v>
      </c>
      <c r="G540" s="3" t="s">
        <v>19</v>
      </c>
      <c r="H540">
        <v>20790</v>
      </c>
      <c r="I540">
        <v>12493.486569999999</v>
      </c>
      <c r="J540">
        <v>8296.5134309999994</v>
      </c>
      <c r="K540" s="5">
        <f>IF(Table1[[#This Row],[Revenue]]=0, 0, Table1[[#This Row],[Profit]]/Table1[[#This Row],[Revenue]])</f>
        <v>0.39906269509379505</v>
      </c>
    </row>
    <row r="541" spans="1:11" x14ac:dyDescent="0.35">
      <c r="A541" s="1">
        <v>45524</v>
      </c>
      <c r="B541" s="3" t="s">
        <v>10</v>
      </c>
      <c r="C541" s="3" t="s">
        <v>26</v>
      </c>
      <c r="D541" s="3" t="s">
        <v>12</v>
      </c>
      <c r="E541" s="4">
        <v>1</v>
      </c>
      <c r="F541" s="4">
        <v>1504</v>
      </c>
      <c r="G541" s="3" t="s">
        <v>19</v>
      </c>
      <c r="H541">
        <v>1504</v>
      </c>
      <c r="I541">
        <v>1297.096839</v>
      </c>
      <c r="J541">
        <v>206.9031612</v>
      </c>
      <c r="K541" s="5">
        <f>IF(Table1[[#This Row],[Revenue]]=0, 0, Table1[[#This Row],[Profit]]/Table1[[#This Row],[Revenue]])</f>
        <v>0.13756859122340426</v>
      </c>
    </row>
    <row r="542" spans="1:11" x14ac:dyDescent="0.35">
      <c r="A542" s="1">
        <v>45367</v>
      </c>
      <c r="B542" s="3" t="s">
        <v>43</v>
      </c>
      <c r="C542" s="3" t="s">
        <v>22</v>
      </c>
      <c r="D542" s="3" t="s">
        <v>21</v>
      </c>
      <c r="E542" s="4">
        <v>17</v>
      </c>
      <c r="F542" s="4">
        <v>980</v>
      </c>
      <c r="G542" s="3" t="s">
        <v>13</v>
      </c>
      <c r="H542">
        <v>16660</v>
      </c>
      <c r="I542">
        <v>14378.851189999999</v>
      </c>
      <c r="J542">
        <v>2281.148807</v>
      </c>
      <c r="K542" s="5">
        <f>IF(Table1[[#This Row],[Revenue]]=0, 0, Table1[[#This Row],[Profit]]/Table1[[#This Row],[Revenue]])</f>
        <v>0.13692369789915967</v>
      </c>
    </row>
    <row r="543" spans="1:11" x14ac:dyDescent="0.35">
      <c r="A543" s="1">
        <v>45556</v>
      </c>
      <c r="B543" s="3" t="s">
        <v>23</v>
      </c>
      <c r="C543" s="3" t="s">
        <v>43</v>
      </c>
      <c r="D543" s="3" t="s">
        <v>32</v>
      </c>
      <c r="E543" s="4">
        <v>5</v>
      </c>
      <c r="F543" s="4">
        <v>1699</v>
      </c>
      <c r="G543" s="3" t="s">
        <v>19</v>
      </c>
      <c r="H543">
        <v>8495</v>
      </c>
      <c r="I543">
        <v>7152.1528939999998</v>
      </c>
      <c r="J543">
        <v>1342.8471059999999</v>
      </c>
      <c r="K543" s="5">
        <f>IF(Table1[[#This Row],[Revenue]]=0, 0, Table1[[#This Row],[Profit]]/Table1[[#This Row],[Revenue]])</f>
        <v>0.15807499776339023</v>
      </c>
    </row>
    <row r="544" spans="1:11" x14ac:dyDescent="0.35">
      <c r="A544" s="1">
        <v>45575</v>
      </c>
      <c r="B544" s="3" t="s">
        <v>23</v>
      </c>
      <c r="C544" s="3" t="s">
        <v>22</v>
      </c>
      <c r="D544" s="3" t="s">
        <v>12</v>
      </c>
      <c r="E544" s="4">
        <v>2</v>
      </c>
      <c r="F544" s="4">
        <v>734</v>
      </c>
      <c r="G544" s="3" t="s">
        <v>13</v>
      </c>
      <c r="H544">
        <v>1468</v>
      </c>
      <c r="I544">
        <v>990.1594599</v>
      </c>
      <c r="J544">
        <v>477.8405401</v>
      </c>
      <c r="K544" s="5">
        <f>IF(Table1[[#This Row],[Revenue]]=0, 0, Table1[[#This Row],[Profit]]/Table1[[#This Row],[Revenue]])</f>
        <v>0.32550445510899184</v>
      </c>
    </row>
    <row r="545" spans="1:11" x14ac:dyDescent="0.35">
      <c r="A545" s="1">
        <v>45497</v>
      </c>
      <c r="B545" s="3" t="s">
        <v>10</v>
      </c>
      <c r="C545" s="3" t="s">
        <v>14</v>
      </c>
      <c r="D545" s="3" t="s">
        <v>29</v>
      </c>
      <c r="E545" s="4">
        <v>9</v>
      </c>
      <c r="F545" s="4">
        <v>353</v>
      </c>
      <c r="G545" s="3" t="s">
        <v>16</v>
      </c>
      <c r="H545">
        <v>3177</v>
      </c>
      <c r="I545">
        <v>2261.4706169999999</v>
      </c>
      <c r="J545">
        <v>915.5293825</v>
      </c>
      <c r="K545" s="5">
        <f>IF(Table1[[#This Row],[Revenue]]=0, 0, Table1[[#This Row],[Profit]]/Table1[[#This Row],[Revenue]])</f>
        <v>0.28817418397859618</v>
      </c>
    </row>
    <row r="546" spans="1:11" x14ac:dyDescent="0.35">
      <c r="A546" s="1">
        <v>45514</v>
      </c>
      <c r="B546" s="3" t="s">
        <v>27</v>
      </c>
      <c r="C546" s="3" t="s">
        <v>11</v>
      </c>
      <c r="D546" s="3" t="s">
        <v>29</v>
      </c>
      <c r="E546" s="4">
        <v>4</v>
      </c>
      <c r="F546" s="4">
        <v>1600</v>
      </c>
      <c r="G546" s="3" t="s">
        <v>13</v>
      </c>
      <c r="H546">
        <v>6400</v>
      </c>
      <c r="I546">
        <v>5270.2583519999998</v>
      </c>
      <c r="J546">
        <v>1129.7416479999999</v>
      </c>
      <c r="K546" s="5">
        <f>IF(Table1[[#This Row],[Revenue]]=0, 0, Table1[[#This Row],[Profit]]/Table1[[#This Row],[Revenue]])</f>
        <v>0.17652213249999998</v>
      </c>
    </row>
    <row r="547" spans="1:11" x14ac:dyDescent="0.35">
      <c r="A547" s="1">
        <v>45343</v>
      </c>
      <c r="B547" s="3" t="s">
        <v>10</v>
      </c>
      <c r="C547" s="3" t="s">
        <v>31</v>
      </c>
      <c r="D547" s="3" t="s">
        <v>21</v>
      </c>
      <c r="E547" s="4">
        <v>17</v>
      </c>
      <c r="F547" s="4">
        <v>1237</v>
      </c>
      <c r="G547" s="3" t="s">
        <v>19</v>
      </c>
      <c r="H547">
        <v>21029</v>
      </c>
      <c r="I547">
        <v>15704.582060000001</v>
      </c>
      <c r="J547">
        <v>5324.4179379999996</v>
      </c>
      <c r="K547" s="5">
        <f>IF(Table1[[#This Row],[Revenue]]=0, 0, Table1[[#This Row],[Profit]]/Table1[[#This Row],[Revenue]])</f>
        <v>0.25319406239003278</v>
      </c>
    </row>
    <row r="548" spans="1:11" x14ac:dyDescent="0.35">
      <c r="A548" s="1">
        <v>45630</v>
      </c>
      <c r="B548" s="3" t="s">
        <v>10</v>
      </c>
      <c r="C548" s="3" t="s">
        <v>26</v>
      </c>
      <c r="D548" s="3" t="s">
        <v>21</v>
      </c>
      <c r="E548" s="4">
        <v>17</v>
      </c>
      <c r="F548" s="4">
        <v>119</v>
      </c>
      <c r="G548" s="3" t="s">
        <v>19</v>
      </c>
      <c r="H548">
        <v>2023</v>
      </c>
      <c r="I548">
        <v>1307.1573490000001</v>
      </c>
      <c r="J548">
        <v>715.84265059999996</v>
      </c>
      <c r="K548" s="5">
        <f>IF(Table1[[#This Row],[Revenue]]=0, 0, Table1[[#This Row],[Profit]]/Table1[[#This Row],[Revenue]])</f>
        <v>0.35385202698961937</v>
      </c>
    </row>
    <row r="549" spans="1:11" x14ac:dyDescent="0.35">
      <c r="A549" s="1">
        <v>45435</v>
      </c>
      <c r="B549" s="3" t="s">
        <v>10</v>
      </c>
      <c r="C549" s="3" t="s">
        <v>22</v>
      </c>
      <c r="D549" s="3" t="s">
        <v>21</v>
      </c>
      <c r="E549" s="4">
        <v>18</v>
      </c>
      <c r="F549" s="4">
        <v>627</v>
      </c>
      <c r="G549" s="3" t="s">
        <v>13</v>
      </c>
      <c r="H549">
        <v>11286</v>
      </c>
      <c r="I549">
        <v>7593.6663639999997</v>
      </c>
      <c r="J549">
        <v>3692.3336359999998</v>
      </c>
      <c r="K549" s="5">
        <f>IF(Table1[[#This Row],[Revenue]]=0, 0, Table1[[#This Row],[Profit]]/Table1[[#This Row],[Revenue]])</f>
        <v>0.32716052064504697</v>
      </c>
    </row>
    <row r="550" spans="1:11" x14ac:dyDescent="0.35">
      <c r="A550" s="1">
        <v>45360</v>
      </c>
      <c r="B550" s="3" t="s">
        <v>27</v>
      </c>
      <c r="C550" s="3" t="s">
        <v>17</v>
      </c>
      <c r="D550" s="3" t="s">
        <v>12</v>
      </c>
      <c r="E550" s="4">
        <v>16</v>
      </c>
      <c r="F550" s="4">
        <v>1268</v>
      </c>
      <c r="G550" s="3" t="s">
        <v>19</v>
      </c>
      <c r="H550">
        <v>20288</v>
      </c>
      <c r="I550">
        <v>18092.36896</v>
      </c>
      <c r="J550">
        <v>2195.6310440000002</v>
      </c>
      <c r="K550" s="5">
        <f>IF(Table1[[#This Row],[Revenue]]=0, 0, Table1[[#This Row],[Profit]]/Table1[[#This Row],[Revenue]])</f>
        <v>0.10822313899842272</v>
      </c>
    </row>
    <row r="551" spans="1:11" x14ac:dyDescent="0.35">
      <c r="A551" s="1">
        <v>45390</v>
      </c>
      <c r="B551" s="3" t="s">
        <v>20</v>
      </c>
      <c r="C551" s="3" t="s">
        <v>22</v>
      </c>
      <c r="D551" s="3" t="s">
        <v>29</v>
      </c>
      <c r="E551" s="4">
        <v>8</v>
      </c>
      <c r="F551" s="4">
        <v>1331</v>
      </c>
      <c r="G551" s="3" t="s">
        <v>13</v>
      </c>
      <c r="H551">
        <v>10648</v>
      </c>
      <c r="I551">
        <v>6871.1963020000003</v>
      </c>
      <c r="J551">
        <v>3776.8036980000002</v>
      </c>
      <c r="K551" s="5">
        <f>IF(Table1[[#This Row],[Revenue]]=0, 0, Table1[[#This Row],[Profit]]/Table1[[#This Row],[Revenue]])</f>
        <v>0.3546960648009016</v>
      </c>
    </row>
    <row r="552" spans="1:11" x14ac:dyDescent="0.35">
      <c r="A552" s="1">
        <v>45316</v>
      </c>
      <c r="B552" s="3" t="s">
        <v>10</v>
      </c>
      <c r="C552" s="3" t="s">
        <v>17</v>
      </c>
      <c r="D552" s="3" t="s">
        <v>15</v>
      </c>
      <c r="E552" s="4">
        <v>11</v>
      </c>
      <c r="F552" s="4">
        <v>1654</v>
      </c>
      <c r="G552" s="3" t="s">
        <v>19</v>
      </c>
      <c r="H552">
        <v>18194</v>
      </c>
      <c r="I552">
        <v>14879.493990000001</v>
      </c>
      <c r="J552">
        <v>3314.5060140000001</v>
      </c>
      <c r="K552" s="5">
        <f>IF(Table1[[#This Row],[Revenue]]=0, 0, Table1[[#This Row],[Profit]]/Table1[[#This Row],[Revenue]])</f>
        <v>0.18217577300208859</v>
      </c>
    </row>
    <row r="553" spans="1:11" x14ac:dyDescent="0.35">
      <c r="A553" s="1">
        <v>45344</v>
      </c>
      <c r="B553" s="3" t="s">
        <v>27</v>
      </c>
      <c r="C553" s="3" t="s">
        <v>24</v>
      </c>
      <c r="D553" s="3" t="s">
        <v>21</v>
      </c>
      <c r="E553" s="4">
        <v>18</v>
      </c>
      <c r="F553" s="4">
        <v>475</v>
      </c>
      <c r="G553" s="3" t="s">
        <v>19</v>
      </c>
      <c r="H553">
        <v>8550</v>
      </c>
      <c r="I553">
        <v>6356.1169570000002</v>
      </c>
      <c r="J553">
        <v>2193.8830429999998</v>
      </c>
      <c r="K553" s="5">
        <f>IF(Table1[[#This Row],[Revenue]]=0, 0, Table1[[#This Row],[Profit]]/Table1[[#This Row],[Revenue]])</f>
        <v>0.25659450795321637</v>
      </c>
    </row>
    <row r="554" spans="1:11" x14ac:dyDescent="0.35">
      <c r="A554" s="1">
        <v>45442</v>
      </c>
      <c r="B554" s="3" t="s">
        <v>20</v>
      </c>
      <c r="C554" s="3" t="s">
        <v>26</v>
      </c>
      <c r="D554" s="3" t="s">
        <v>18</v>
      </c>
      <c r="E554" s="4">
        <v>10</v>
      </c>
      <c r="F554" s="4">
        <v>1627</v>
      </c>
      <c r="G554" s="3" t="s">
        <v>19</v>
      </c>
      <c r="H554">
        <v>16270</v>
      </c>
      <c r="I554">
        <v>13415.9247</v>
      </c>
      <c r="J554">
        <v>2854.0753</v>
      </c>
      <c r="K554" s="5">
        <f>IF(Table1[[#This Row],[Revenue]]=0, 0, Table1[[#This Row],[Profit]]/Table1[[#This Row],[Revenue]])</f>
        <v>0.17541950215119853</v>
      </c>
    </row>
    <row r="555" spans="1:11" x14ac:dyDescent="0.35">
      <c r="A555" s="1">
        <v>45435</v>
      </c>
      <c r="B555" s="3" t="s">
        <v>10</v>
      </c>
      <c r="C555" s="3" t="s">
        <v>22</v>
      </c>
      <c r="D555" s="3" t="s">
        <v>25</v>
      </c>
      <c r="E555" s="4">
        <v>13</v>
      </c>
      <c r="F555" s="4">
        <v>265</v>
      </c>
      <c r="G555" s="3" t="s">
        <v>13</v>
      </c>
      <c r="H555">
        <v>3445</v>
      </c>
      <c r="I555">
        <v>2750.2605349999999</v>
      </c>
      <c r="J555">
        <v>694.73946530000001</v>
      </c>
      <c r="K555" s="5">
        <f>IF(Table1[[#This Row],[Revenue]]=0, 0, Table1[[#This Row],[Profit]]/Table1[[#This Row],[Revenue]])</f>
        <v>0.20166602766328012</v>
      </c>
    </row>
    <row r="556" spans="1:11" x14ac:dyDescent="0.35">
      <c r="A556" s="1">
        <v>45348</v>
      </c>
      <c r="B556" s="3" t="s">
        <v>23</v>
      </c>
      <c r="C556" s="3" t="s">
        <v>28</v>
      </c>
      <c r="D556" s="3" t="s">
        <v>12</v>
      </c>
      <c r="E556" s="4">
        <v>17</v>
      </c>
      <c r="F556" s="4">
        <v>1673</v>
      </c>
      <c r="G556" s="3" t="s">
        <v>16</v>
      </c>
      <c r="H556">
        <v>28441</v>
      </c>
      <c r="I556">
        <v>20811.70622</v>
      </c>
      <c r="J556">
        <v>7629.29378</v>
      </c>
      <c r="K556" s="5">
        <f>IF(Table1[[#This Row],[Revenue]]=0, 0, Table1[[#This Row],[Profit]]/Table1[[#This Row],[Revenue]])</f>
        <v>0.26824984283253051</v>
      </c>
    </row>
    <row r="557" spans="1:11" x14ac:dyDescent="0.35">
      <c r="A557" s="1">
        <v>45330</v>
      </c>
      <c r="B557" s="3" t="s">
        <v>20</v>
      </c>
      <c r="C557" s="3" t="s">
        <v>22</v>
      </c>
      <c r="D557" s="3" t="s">
        <v>21</v>
      </c>
      <c r="E557" s="4">
        <v>18</v>
      </c>
      <c r="F557" s="4">
        <v>1304</v>
      </c>
      <c r="G557" s="3" t="s">
        <v>13</v>
      </c>
      <c r="H557">
        <v>23472</v>
      </c>
      <c r="I557">
        <v>16575.298460000002</v>
      </c>
      <c r="J557">
        <v>6896.7015369999999</v>
      </c>
      <c r="K557" s="5">
        <f>IF(Table1[[#This Row],[Revenue]]=0, 0, Table1[[#This Row],[Profit]]/Table1[[#This Row],[Revenue]])</f>
        <v>0.29382675259884117</v>
      </c>
    </row>
    <row r="558" spans="1:11" x14ac:dyDescent="0.35">
      <c r="A558" s="1">
        <v>45472</v>
      </c>
      <c r="B558" s="3" t="s">
        <v>20</v>
      </c>
      <c r="C558" s="3" t="s">
        <v>28</v>
      </c>
      <c r="D558" s="3" t="s">
        <v>30</v>
      </c>
      <c r="E558" s="4">
        <v>16</v>
      </c>
      <c r="F558" s="4">
        <v>716</v>
      </c>
      <c r="G558" s="3" t="s">
        <v>16</v>
      </c>
      <c r="H558">
        <v>11456</v>
      </c>
      <c r="I558">
        <v>7984.1716980000001</v>
      </c>
      <c r="J558">
        <v>3471.8283019999999</v>
      </c>
      <c r="K558" s="5">
        <f>IF(Table1[[#This Row],[Revenue]]=0, 0, Table1[[#This Row],[Profit]]/Table1[[#This Row],[Revenue]])</f>
        <v>0.30305763809357539</v>
      </c>
    </row>
    <row r="559" spans="1:11" x14ac:dyDescent="0.35">
      <c r="A559" s="1">
        <v>45333</v>
      </c>
      <c r="B559" s="3" t="s">
        <v>20</v>
      </c>
      <c r="C559" s="3" t="s">
        <v>26</v>
      </c>
      <c r="D559" s="3" t="s">
        <v>21</v>
      </c>
      <c r="E559" s="4">
        <v>5</v>
      </c>
      <c r="F559" s="4">
        <v>711</v>
      </c>
      <c r="G559" s="3" t="s">
        <v>19</v>
      </c>
      <c r="H559">
        <v>3555</v>
      </c>
      <c r="I559">
        <v>2973.1582840000001</v>
      </c>
      <c r="J559">
        <v>581.84171649999996</v>
      </c>
      <c r="K559" s="5">
        <f>IF(Table1[[#This Row],[Revenue]]=0, 0, Table1[[#This Row],[Profit]]/Table1[[#This Row],[Revenue]])</f>
        <v>0.16366855597749647</v>
      </c>
    </row>
    <row r="560" spans="1:11" x14ac:dyDescent="0.35">
      <c r="A560" s="1">
        <v>45477</v>
      </c>
      <c r="B560" s="3" t="s">
        <v>20</v>
      </c>
      <c r="C560" s="3" t="s">
        <v>14</v>
      </c>
      <c r="D560" s="3" t="s">
        <v>29</v>
      </c>
      <c r="E560" s="4">
        <v>13</v>
      </c>
      <c r="F560" s="4">
        <v>1725</v>
      </c>
      <c r="G560" s="3" t="s">
        <v>16</v>
      </c>
      <c r="H560">
        <v>22425</v>
      </c>
      <c r="I560">
        <v>18028.644230000002</v>
      </c>
      <c r="J560">
        <v>4396.3557709999995</v>
      </c>
      <c r="K560" s="5">
        <f>IF(Table1[[#This Row],[Revenue]]=0, 0, Table1[[#This Row],[Profit]]/Table1[[#This Row],[Revenue]])</f>
        <v>0.19604708008918614</v>
      </c>
    </row>
    <row r="561" spans="1:11" x14ac:dyDescent="0.35">
      <c r="A561" s="1">
        <v>45514</v>
      </c>
      <c r="B561" s="3" t="s">
        <v>20</v>
      </c>
      <c r="C561" s="3" t="s">
        <v>22</v>
      </c>
      <c r="D561" s="3" t="s">
        <v>44</v>
      </c>
      <c r="E561" s="4">
        <v>18</v>
      </c>
      <c r="F561" s="4">
        <v>1935</v>
      </c>
      <c r="G561" s="3" t="s">
        <v>13</v>
      </c>
      <c r="H561">
        <v>34830</v>
      </c>
      <c r="I561">
        <v>26934.065159999998</v>
      </c>
      <c r="J561">
        <v>7895.9348399999999</v>
      </c>
      <c r="K561" s="5">
        <f>IF(Table1[[#This Row],[Revenue]]=0, 0, Table1[[#This Row],[Profit]]/Table1[[#This Row],[Revenue]])</f>
        <v>0.22669924892334195</v>
      </c>
    </row>
    <row r="562" spans="1:11" x14ac:dyDescent="0.35">
      <c r="A562" s="1">
        <v>45413</v>
      </c>
      <c r="B562" s="3" t="s">
        <v>20</v>
      </c>
      <c r="C562" s="3" t="s">
        <v>17</v>
      </c>
      <c r="D562" s="3" t="s">
        <v>21</v>
      </c>
      <c r="E562" s="4">
        <v>17</v>
      </c>
      <c r="F562" s="4">
        <v>1567</v>
      </c>
      <c r="G562" s="3" t="s">
        <v>19</v>
      </c>
      <c r="H562">
        <v>26639</v>
      </c>
      <c r="I562">
        <v>18930.746029999998</v>
      </c>
      <c r="J562">
        <v>7708.253968</v>
      </c>
      <c r="K562" s="5">
        <f>IF(Table1[[#This Row],[Revenue]]=0, 0, Table1[[#This Row],[Profit]]/Table1[[#This Row],[Revenue]])</f>
        <v>0.28935973452456926</v>
      </c>
    </row>
    <row r="563" spans="1:11" x14ac:dyDescent="0.35">
      <c r="A563" s="1">
        <v>45424</v>
      </c>
      <c r="B563" s="3" t="s">
        <v>20</v>
      </c>
      <c r="C563" s="3" t="s">
        <v>22</v>
      </c>
      <c r="D563" s="3" t="s">
        <v>12</v>
      </c>
      <c r="E563" s="4">
        <v>9</v>
      </c>
      <c r="F563" s="4">
        <v>1455</v>
      </c>
      <c r="G563" s="3" t="s">
        <v>13</v>
      </c>
      <c r="H563">
        <v>13095</v>
      </c>
      <c r="I563">
        <v>8662.6621140000007</v>
      </c>
      <c r="J563">
        <v>4432.3378860000003</v>
      </c>
      <c r="K563" s="5">
        <f>IF(Table1[[#This Row],[Revenue]]=0, 0, Table1[[#This Row],[Profit]]/Table1[[#This Row],[Revenue]])</f>
        <v>0.33847559266895766</v>
      </c>
    </row>
    <row r="564" spans="1:11" x14ac:dyDescent="0.35">
      <c r="A564" s="1">
        <v>45454</v>
      </c>
      <c r="B564" s="3" t="s">
        <v>10</v>
      </c>
      <c r="C564" s="3" t="s">
        <v>31</v>
      </c>
      <c r="D564" s="3" t="s">
        <v>32</v>
      </c>
      <c r="E564" s="4">
        <v>14</v>
      </c>
      <c r="F564" s="4">
        <v>602</v>
      </c>
      <c r="G564" s="3" t="s">
        <v>19</v>
      </c>
      <c r="H564">
        <v>8428</v>
      </c>
      <c r="I564">
        <v>6853.0254249999998</v>
      </c>
      <c r="J564">
        <v>1574.974575</v>
      </c>
      <c r="K564" s="5">
        <f>IF(Table1[[#This Row],[Revenue]]=0, 0, Table1[[#This Row],[Profit]]/Table1[[#This Row],[Revenue]])</f>
        <v>0.18687405968201234</v>
      </c>
    </row>
    <row r="565" spans="1:11" x14ac:dyDescent="0.35">
      <c r="A565" s="1">
        <v>45506</v>
      </c>
      <c r="B565" s="3" t="s">
        <v>23</v>
      </c>
      <c r="C565" s="3" t="s">
        <v>24</v>
      </c>
      <c r="D565" s="3" t="s">
        <v>30</v>
      </c>
      <c r="E565" s="4">
        <v>17</v>
      </c>
      <c r="F565" s="4">
        <v>1012</v>
      </c>
      <c r="G565" s="3" t="s">
        <v>19</v>
      </c>
      <c r="H565">
        <v>17204</v>
      </c>
      <c r="I565">
        <v>10793.87163</v>
      </c>
      <c r="J565">
        <v>6410.128369</v>
      </c>
      <c r="K565" s="5">
        <f>IF(Table1[[#This Row],[Revenue]]=0, 0, Table1[[#This Row],[Profit]]/Table1[[#This Row],[Revenue]])</f>
        <v>0.37259523186468263</v>
      </c>
    </row>
    <row r="566" spans="1:11" x14ac:dyDescent="0.35">
      <c r="A566" s="1">
        <v>45512</v>
      </c>
      <c r="B566" s="3" t="s">
        <v>27</v>
      </c>
      <c r="C566" s="3" t="s">
        <v>11</v>
      </c>
      <c r="D566" s="3" t="s">
        <v>18</v>
      </c>
      <c r="E566" s="4">
        <v>4</v>
      </c>
      <c r="F566" s="4">
        <v>178</v>
      </c>
      <c r="G566" s="3" t="s">
        <v>13</v>
      </c>
      <c r="H566">
        <v>712</v>
      </c>
      <c r="I566">
        <v>634.50782589999994</v>
      </c>
      <c r="J566">
        <v>77.492174090000006</v>
      </c>
      <c r="K566" s="5">
        <f>IF(Table1[[#This Row],[Revenue]]=0, 0, Table1[[#This Row],[Profit]]/Table1[[#This Row],[Revenue]])</f>
        <v>0.10883732316011237</v>
      </c>
    </row>
    <row r="567" spans="1:11" x14ac:dyDescent="0.35">
      <c r="A567" s="1">
        <v>45526</v>
      </c>
      <c r="B567" s="3" t="s">
        <v>20</v>
      </c>
      <c r="C567" s="3" t="s">
        <v>17</v>
      </c>
      <c r="D567" s="3" t="s">
        <v>32</v>
      </c>
      <c r="E567" s="4">
        <v>18</v>
      </c>
      <c r="F567" s="4">
        <v>684</v>
      </c>
      <c r="G567" s="3" t="s">
        <v>19</v>
      </c>
      <c r="H567">
        <v>12312</v>
      </c>
      <c r="I567">
        <v>11002.3033</v>
      </c>
      <c r="J567">
        <v>1309.6967030000001</v>
      </c>
      <c r="K567" s="5">
        <f>IF(Table1[[#This Row],[Revenue]]=0, 0, Table1[[#This Row],[Profit]]/Table1[[#This Row],[Revenue]])</f>
        <v>0.10637562564977258</v>
      </c>
    </row>
    <row r="568" spans="1:11" x14ac:dyDescent="0.35">
      <c r="A568" s="1">
        <v>45622</v>
      </c>
      <c r="B568" s="3" t="s">
        <v>27</v>
      </c>
      <c r="C568" s="3" t="s">
        <v>31</v>
      </c>
      <c r="D568" s="3" t="s">
        <v>25</v>
      </c>
      <c r="E568" s="4">
        <v>15</v>
      </c>
      <c r="F568" s="4">
        <v>787</v>
      </c>
      <c r="G568" s="3" t="s">
        <v>19</v>
      </c>
      <c r="H568">
        <v>11805</v>
      </c>
      <c r="I568">
        <v>7544.1833939999997</v>
      </c>
      <c r="J568">
        <v>4260.8166060000003</v>
      </c>
      <c r="K568" s="5">
        <f>IF(Table1[[#This Row],[Revenue]]=0, 0, Table1[[#This Row],[Profit]]/Table1[[#This Row],[Revenue]])</f>
        <v>0.36093321524777638</v>
      </c>
    </row>
    <row r="569" spans="1:11" x14ac:dyDescent="0.35">
      <c r="A569" s="1">
        <v>45437</v>
      </c>
      <c r="B569" s="3" t="s">
        <v>10</v>
      </c>
      <c r="C569" s="3" t="s">
        <v>28</v>
      </c>
      <c r="D569" s="3" t="s">
        <v>15</v>
      </c>
      <c r="E569" s="4">
        <v>11</v>
      </c>
      <c r="F569" s="4">
        <v>495</v>
      </c>
      <c r="G569" s="3" t="s">
        <v>16</v>
      </c>
      <c r="H569">
        <v>5445</v>
      </c>
      <c r="I569">
        <v>3436.77835</v>
      </c>
      <c r="J569">
        <v>2008.22165</v>
      </c>
      <c r="K569" s="5">
        <f>IF(Table1[[#This Row],[Revenue]]=0, 0, Table1[[#This Row],[Profit]]/Table1[[#This Row],[Revenue]])</f>
        <v>0.36881940312213041</v>
      </c>
    </row>
    <row r="570" spans="1:11" x14ac:dyDescent="0.35">
      <c r="A570" s="1">
        <v>45530</v>
      </c>
      <c r="B570" s="3" t="s">
        <v>20</v>
      </c>
      <c r="C570" s="3" t="s">
        <v>24</v>
      </c>
      <c r="D570" s="3" t="s">
        <v>21</v>
      </c>
      <c r="E570" s="4">
        <v>12</v>
      </c>
      <c r="F570" s="4">
        <v>1731</v>
      </c>
      <c r="G570" s="3" t="s">
        <v>19</v>
      </c>
      <c r="H570">
        <v>20772</v>
      </c>
      <c r="I570">
        <v>15035.08556</v>
      </c>
      <c r="J570">
        <v>5736.914444</v>
      </c>
      <c r="K570" s="5">
        <f>IF(Table1[[#This Row],[Revenue]]=0, 0, Table1[[#This Row],[Profit]]/Table1[[#This Row],[Revenue]])</f>
        <v>0.27618498189870982</v>
      </c>
    </row>
    <row r="571" spans="1:11" x14ac:dyDescent="0.35">
      <c r="A571" s="1">
        <v>45367</v>
      </c>
      <c r="B571" s="3" t="s">
        <v>23</v>
      </c>
      <c r="C571" s="3" t="s">
        <v>26</v>
      </c>
      <c r="D571" s="3" t="s">
        <v>30</v>
      </c>
      <c r="E571" s="4">
        <v>9</v>
      </c>
      <c r="F571" s="4">
        <v>1980</v>
      </c>
      <c r="G571" s="3" t="s">
        <v>19</v>
      </c>
      <c r="H571">
        <v>17820</v>
      </c>
      <c r="I571">
        <v>15843.850769999999</v>
      </c>
      <c r="J571">
        <v>1976.149226</v>
      </c>
      <c r="K571" s="5">
        <f>IF(Table1[[#This Row],[Revenue]]=0, 0, Table1[[#This Row],[Profit]]/Table1[[#This Row],[Revenue]])</f>
        <v>0.11089501829405163</v>
      </c>
    </row>
    <row r="572" spans="1:11" x14ac:dyDescent="0.35">
      <c r="A572" s="1">
        <v>45300</v>
      </c>
      <c r="B572" s="3" t="s">
        <v>27</v>
      </c>
      <c r="C572" s="3" t="s">
        <v>17</v>
      </c>
      <c r="D572" s="3" t="s">
        <v>30</v>
      </c>
      <c r="E572" s="4">
        <v>13</v>
      </c>
      <c r="F572" s="4">
        <v>1226</v>
      </c>
      <c r="G572" s="3" t="s">
        <v>19</v>
      </c>
      <c r="H572">
        <v>15938</v>
      </c>
      <c r="I572">
        <v>11476.846530000001</v>
      </c>
      <c r="J572">
        <v>4461.1534659999998</v>
      </c>
      <c r="K572" s="5">
        <f>IF(Table1[[#This Row],[Revenue]]=0, 0, Table1[[#This Row],[Profit]]/Table1[[#This Row],[Revenue]])</f>
        <v>0.2799067302045426</v>
      </c>
    </row>
    <row r="573" spans="1:11" x14ac:dyDescent="0.35">
      <c r="A573" s="1">
        <v>45365</v>
      </c>
      <c r="B573" s="3" t="s">
        <v>20</v>
      </c>
      <c r="C573" s="3" t="s">
        <v>11</v>
      </c>
      <c r="D573" s="3" t="s">
        <v>32</v>
      </c>
      <c r="E573" s="4">
        <v>15</v>
      </c>
      <c r="F573" s="4">
        <v>501</v>
      </c>
      <c r="G573" s="3" t="s">
        <v>13</v>
      </c>
      <c r="H573">
        <v>7515</v>
      </c>
      <c r="I573">
        <v>5329.1918530000003</v>
      </c>
      <c r="J573">
        <v>2185.8081470000002</v>
      </c>
      <c r="K573" s="5">
        <f>IF(Table1[[#This Row],[Revenue]]=0, 0, Table1[[#This Row],[Profit]]/Table1[[#This Row],[Revenue]])</f>
        <v>0.29085936753160346</v>
      </c>
    </row>
    <row r="574" spans="1:11" x14ac:dyDescent="0.35">
      <c r="A574" s="1">
        <v>45544</v>
      </c>
      <c r="B574" s="3" t="s">
        <v>10</v>
      </c>
      <c r="C574" s="3" t="s">
        <v>24</v>
      </c>
      <c r="D574" s="3" t="s">
        <v>18</v>
      </c>
      <c r="E574" s="4">
        <v>15</v>
      </c>
      <c r="F574" s="4">
        <v>1074</v>
      </c>
      <c r="G574" s="3" t="s">
        <v>19</v>
      </c>
      <c r="H574">
        <v>16110</v>
      </c>
      <c r="I574">
        <v>13066.426589999999</v>
      </c>
      <c r="J574">
        <v>3043.57341</v>
      </c>
      <c r="K574" s="5">
        <f>IF(Table1[[#This Row],[Revenue]]=0, 0, Table1[[#This Row],[Profit]]/Table1[[#This Row],[Revenue]])</f>
        <v>0.18892448230912476</v>
      </c>
    </row>
    <row r="575" spans="1:11" x14ac:dyDescent="0.35">
      <c r="A575" s="1">
        <v>45521</v>
      </c>
      <c r="B575" s="3" t="s">
        <v>23</v>
      </c>
      <c r="C575" s="3" t="s">
        <v>28</v>
      </c>
      <c r="D575" s="3" t="s">
        <v>29</v>
      </c>
      <c r="E575" s="4">
        <v>5</v>
      </c>
      <c r="F575" s="4">
        <v>323</v>
      </c>
      <c r="G575" s="3" t="s">
        <v>16</v>
      </c>
      <c r="H575">
        <v>1615</v>
      </c>
      <c r="I575">
        <v>1055.595284</v>
      </c>
      <c r="J575">
        <v>559.40471590000004</v>
      </c>
      <c r="K575" s="5">
        <f>IF(Table1[[#This Row],[Revenue]]=0, 0, Table1[[#This Row],[Profit]]/Table1[[#This Row],[Revenue]])</f>
        <v>0.34638062904024769</v>
      </c>
    </row>
    <row r="576" spans="1:11" x14ac:dyDescent="0.35">
      <c r="A576" s="1">
        <v>45298</v>
      </c>
      <c r="B576" s="3" t="s">
        <v>43</v>
      </c>
      <c r="C576" s="3" t="s">
        <v>14</v>
      </c>
      <c r="D576" s="3" t="s">
        <v>21</v>
      </c>
      <c r="E576" s="4">
        <v>19</v>
      </c>
      <c r="F576" s="4">
        <v>617</v>
      </c>
      <c r="G576" s="3" t="s">
        <v>16</v>
      </c>
      <c r="H576">
        <v>11723</v>
      </c>
      <c r="I576">
        <v>8311.5723589999998</v>
      </c>
      <c r="J576">
        <v>3411.4276410000002</v>
      </c>
      <c r="K576" s="5">
        <f>IF(Table1[[#This Row],[Revenue]]=0, 0, Table1[[#This Row],[Profit]]/Table1[[#This Row],[Revenue]])</f>
        <v>0.2910029549603344</v>
      </c>
    </row>
    <row r="577" spans="1:11" x14ac:dyDescent="0.35">
      <c r="A577" s="1">
        <v>45465</v>
      </c>
      <c r="B577" s="3" t="s">
        <v>27</v>
      </c>
      <c r="C577" s="3" t="s">
        <v>14</v>
      </c>
      <c r="D577" s="3" t="s">
        <v>30</v>
      </c>
      <c r="E577" s="4">
        <v>14</v>
      </c>
      <c r="F577" s="4">
        <v>733</v>
      </c>
      <c r="G577" s="3" t="s">
        <v>16</v>
      </c>
      <c r="H577">
        <v>10262</v>
      </c>
      <c r="I577">
        <v>7054.019104</v>
      </c>
      <c r="J577">
        <v>3207.980896</v>
      </c>
      <c r="K577" s="5">
        <f>IF(Table1[[#This Row],[Revenue]]=0, 0, Table1[[#This Row],[Profit]]/Table1[[#This Row],[Revenue]])</f>
        <v>0.31260776612746055</v>
      </c>
    </row>
    <row r="578" spans="1:11" x14ac:dyDescent="0.35">
      <c r="A578" s="1">
        <v>45432</v>
      </c>
      <c r="B578" s="3" t="s">
        <v>20</v>
      </c>
      <c r="C578" s="3" t="s">
        <v>11</v>
      </c>
      <c r="D578" s="3" t="s">
        <v>18</v>
      </c>
      <c r="E578" s="4">
        <v>17</v>
      </c>
      <c r="F578" s="4">
        <v>335</v>
      </c>
      <c r="G578" s="3" t="s">
        <v>13</v>
      </c>
      <c r="H578">
        <v>5695</v>
      </c>
      <c r="I578">
        <v>4444.7219029999997</v>
      </c>
      <c r="J578">
        <v>1250.2780969999999</v>
      </c>
      <c r="K578" s="5">
        <f>IF(Table1[[#This Row],[Revenue]]=0, 0, Table1[[#This Row],[Profit]]/Table1[[#This Row],[Revenue]])</f>
        <v>0.21953961316944687</v>
      </c>
    </row>
    <row r="579" spans="1:11" x14ac:dyDescent="0.35">
      <c r="A579" s="1">
        <v>45459</v>
      </c>
      <c r="B579" s="3" t="s">
        <v>23</v>
      </c>
      <c r="C579" s="3" t="s">
        <v>26</v>
      </c>
      <c r="D579" s="3" t="s">
        <v>15</v>
      </c>
      <c r="E579" s="4">
        <v>18</v>
      </c>
      <c r="F579" s="4">
        <v>1550</v>
      </c>
      <c r="G579" s="3" t="s">
        <v>19</v>
      </c>
      <c r="H579">
        <v>27900</v>
      </c>
      <c r="I579">
        <v>18102.24166</v>
      </c>
      <c r="J579">
        <v>9797.7583419999992</v>
      </c>
      <c r="K579" s="5">
        <f>IF(Table1[[#This Row],[Revenue]]=0, 0, Table1[[#This Row],[Profit]]/Table1[[#This Row],[Revenue]])</f>
        <v>0.35117413412186377</v>
      </c>
    </row>
    <row r="580" spans="1:11" x14ac:dyDescent="0.35">
      <c r="A580" s="1">
        <v>45461</v>
      </c>
      <c r="B580" s="3" t="s">
        <v>23</v>
      </c>
      <c r="C580" s="3" t="s">
        <v>26</v>
      </c>
      <c r="D580" s="3" t="s">
        <v>30</v>
      </c>
      <c r="E580" s="4">
        <v>3</v>
      </c>
      <c r="F580" s="4">
        <v>215</v>
      </c>
      <c r="G580" s="3" t="s">
        <v>19</v>
      </c>
      <c r="H580">
        <v>645</v>
      </c>
      <c r="I580">
        <v>493.17369300000001</v>
      </c>
      <c r="J580">
        <v>151.82630700000001</v>
      </c>
      <c r="K580" s="5">
        <f>IF(Table1[[#This Row],[Revenue]]=0, 0, Table1[[#This Row],[Profit]]/Table1[[#This Row],[Revenue]])</f>
        <v>0.23538962325581397</v>
      </c>
    </row>
    <row r="581" spans="1:11" x14ac:dyDescent="0.35">
      <c r="A581" s="1">
        <v>45574</v>
      </c>
      <c r="B581" s="3" t="s">
        <v>23</v>
      </c>
      <c r="C581" s="3" t="s">
        <v>28</v>
      </c>
      <c r="D581" s="3" t="s">
        <v>18</v>
      </c>
      <c r="E581" s="4">
        <v>2</v>
      </c>
      <c r="F581" s="4">
        <v>1286</v>
      </c>
      <c r="G581" s="3" t="s">
        <v>16</v>
      </c>
      <c r="H581">
        <v>2572</v>
      </c>
      <c r="I581">
        <v>2204.8829489999998</v>
      </c>
      <c r="J581">
        <v>367.11705119999999</v>
      </c>
      <c r="K581" s="5">
        <f>IF(Table1[[#This Row],[Revenue]]=0, 0, Table1[[#This Row],[Profit]]/Table1[[#This Row],[Revenue]])</f>
        <v>0.14273602301710731</v>
      </c>
    </row>
    <row r="582" spans="1:11" x14ac:dyDescent="0.35">
      <c r="A582" s="1">
        <v>45413</v>
      </c>
      <c r="B582" s="3" t="s">
        <v>23</v>
      </c>
      <c r="C582" s="3" t="s">
        <v>17</v>
      </c>
      <c r="D582" s="3" t="s">
        <v>12</v>
      </c>
      <c r="E582" s="4">
        <v>1</v>
      </c>
      <c r="F582" s="4">
        <v>325</v>
      </c>
      <c r="G582" s="3" t="s">
        <v>19</v>
      </c>
      <c r="H582">
        <v>325</v>
      </c>
      <c r="I582">
        <v>245.13162829999999</v>
      </c>
      <c r="J582">
        <v>79.868371699999997</v>
      </c>
      <c r="K582" s="5">
        <f>IF(Table1[[#This Row],[Revenue]]=0, 0, Table1[[#This Row],[Profit]]/Table1[[#This Row],[Revenue]])</f>
        <v>0.245748836</v>
      </c>
    </row>
    <row r="583" spans="1:11" x14ac:dyDescent="0.35">
      <c r="A583" s="1">
        <v>45485</v>
      </c>
      <c r="B583" s="3" t="s">
        <v>10</v>
      </c>
      <c r="C583" s="3" t="s">
        <v>28</v>
      </c>
      <c r="D583" s="3" t="s">
        <v>29</v>
      </c>
      <c r="E583" s="4">
        <v>10</v>
      </c>
      <c r="F583" s="4">
        <v>329</v>
      </c>
      <c r="G583" s="3" t="s">
        <v>16</v>
      </c>
      <c r="H583">
        <v>3290</v>
      </c>
      <c r="I583">
        <v>2648.6111609999998</v>
      </c>
      <c r="J583">
        <v>641.3888389</v>
      </c>
      <c r="K583" s="5">
        <f>IF(Table1[[#This Row],[Revenue]]=0, 0, Table1[[#This Row],[Profit]]/Table1[[#This Row],[Revenue]])</f>
        <v>0.19495101486322189</v>
      </c>
    </row>
    <row r="584" spans="1:11" x14ac:dyDescent="0.35">
      <c r="A584" s="1">
        <v>45296</v>
      </c>
      <c r="B584" s="3" t="s">
        <v>23</v>
      </c>
      <c r="C584" s="3" t="s">
        <v>22</v>
      </c>
      <c r="D584" s="3" t="s">
        <v>29</v>
      </c>
      <c r="E584" s="4">
        <v>19</v>
      </c>
      <c r="F584" s="4">
        <v>281</v>
      </c>
      <c r="G584" s="3" t="s">
        <v>13</v>
      </c>
      <c r="H584">
        <v>5339</v>
      </c>
      <c r="I584">
        <v>3323.9247500000001</v>
      </c>
      <c r="J584">
        <v>2015.0752500000001</v>
      </c>
      <c r="K584" s="5">
        <f>IF(Table1[[#This Row],[Revenue]]=0, 0, Table1[[#This Row],[Profit]]/Table1[[#This Row],[Revenue]])</f>
        <v>0.37742559468065184</v>
      </c>
    </row>
    <row r="585" spans="1:11" x14ac:dyDescent="0.35">
      <c r="A585" s="1">
        <v>45320</v>
      </c>
      <c r="B585" s="3" t="s">
        <v>27</v>
      </c>
      <c r="C585" s="3" t="s">
        <v>26</v>
      </c>
      <c r="D585" s="3" t="s">
        <v>30</v>
      </c>
      <c r="E585" s="4">
        <v>17</v>
      </c>
      <c r="F585" s="4">
        <v>1372</v>
      </c>
      <c r="G585" s="3" t="s">
        <v>19</v>
      </c>
      <c r="H585">
        <v>23324</v>
      </c>
      <c r="I585">
        <v>17136.181840000001</v>
      </c>
      <c r="J585">
        <v>6187.8181610000001</v>
      </c>
      <c r="K585" s="5">
        <f>IF(Table1[[#This Row],[Revenue]]=0, 0, Table1[[#This Row],[Profit]]/Table1[[#This Row],[Revenue]])</f>
        <v>0.26529832623049221</v>
      </c>
    </row>
    <row r="586" spans="1:11" x14ac:dyDescent="0.35">
      <c r="A586" s="1">
        <v>45456</v>
      </c>
      <c r="B586" s="3" t="s">
        <v>27</v>
      </c>
      <c r="C586" s="3" t="s">
        <v>24</v>
      </c>
      <c r="D586" s="3" t="s">
        <v>25</v>
      </c>
      <c r="E586" s="4">
        <v>12</v>
      </c>
      <c r="F586" s="4">
        <v>1441</v>
      </c>
      <c r="G586" s="3" t="s">
        <v>19</v>
      </c>
      <c r="H586">
        <v>17292</v>
      </c>
      <c r="I586">
        <v>10867.4678</v>
      </c>
      <c r="J586">
        <v>6424.5322050000004</v>
      </c>
      <c r="K586" s="5">
        <f>IF(Table1[[#This Row],[Revenue]]=0, 0, Table1[[#This Row],[Profit]]/Table1[[#This Row],[Revenue]])</f>
        <v>0.37153204979181126</v>
      </c>
    </row>
    <row r="587" spans="1:11" x14ac:dyDescent="0.35">
      <c r="A587" s="1">
        <v>45630</v>
      </c>
      <c r="B587" s="3" t="s">
        <v>10</v>
      </c>
      <c r="C587" s="3" t="s">
        <v>22</v>
      </c>
      <c r="D587" s="3" t="s">
        <v>30</v>
      </c>
      <c r="E587" s="4">
        <v>1</v>
      </c>
      <c r="F587" s="4">
        <v>309</v>
      </c>
      <c r="G587" s="3" t="s">
        <v>13</v>
      </c>
      <c r="H587">
        <v>309</v>
      </c>
      <c r="I587">
        <v>240.97009729999999</v>
      </c>
      <c r="J587">
        <v>68.029902649999997</v>
      </c>
      <c r="K587" s="5">
        <f>IF(Table1[[#This Row],[Revenue]]=0, 0, Table1[[#This Row],[Profit]]/Table1[[#This Row],[Revenue]])</f>
        <v>0.22016149724919093</v>
      </c>
    </row>
    <row r="588" spans="1:11" x14ac:dyDescent="0.35">
      <c r="A588" s="1">
        <v>45427</v>
      </c>
      <c r="B588" s="3" t="s">
        <v>27</v>
      </c>
      <c r="C588" s="3" t="s">
        <v>14</v>
      </c>
      <c r="D588" s="3" t="s">
        <v>32</v>
      </c>
      <c r="E588" s="4">
        <v>12</v>
      </c>
      <c r="F588" s="4">
        <v>1779</v>
      </c>
      <c r="G588" s="3" t="s">
        <v>16</v>
      </c>
      <c r="H588">
        <v>21348</v>
      </c>
      <c r="I588">
        <v>14608.784610000001</v>
      </c>
      <c r="J588">
        <v>6739.2153850000004</v>
      </c>
      <c r="K588" s="5">
        <f>IF(Table1[[#This Row],[Revenue]]=0, 0, Table1[[#This Row],[Profit]]/Table1[[#This Row],[Revenue]])</f>
        <v>0.31568368863593782</v>
      </c>
    </row>
    <row r="589" spans="1:11" x14ac:dyDescent="0.35">
      <c r="A589" s="1">
        <v>45656</v>
      </c>
      <c r="B589" s="3" t="s">
        <v>27</v>
      </c>
      <c r="C589" s="3" t="s">
        <v>14</v>
      </c>
      <c r="D589" s="3" t="s">
        <v>21</v>
      </c>
      <c r="E589" s="4">
        <v>17</v>
      </c>
      <c r="F589" s="4">
        <v>1515</v>
      </c>
      <c r="G589" s="3" t="s">
        <v>16</v>
      </c>
      <c r="H589">
        <v>25755</v>
      </c>
      <c r="I589">
        <v>17672.559440000001</v>
      </c>
      <c r="J589">
        <v>8082.4405569999999</v>
      </c>
      <c r="K589" s="5">
        <f>IF(Table1[[#This Row],[Revenue]]=0, 0, Table1[[#This Row],[Profit]]/Table1[[#This Row],[Revenue]])</f>
        <v>0.31382025070860026</v>
      </c>
    </row>
    <row r="590" spans="1:11" x14ac:dyDescent="0.35">
      <c r="A590" s="1">
        <v>45612</v>
      </c>
      <c r="B590" s="3" t="s">
        <v>23</v>
      </c>
      <c r="C590" s="3" t="s">
        <v>31</v>
      </c>
      <c r="D590" s="3" t="s">
        <v>18</v>
      </c>
      <c r="E590" s="4">
        <v>3</v>
      </c>
      <c r="F590" s="4">
        <v>1980</v>
      </c>
      <c r="G590" s="3" t="s">
        <v>19</v>
      </c>
      <c r="H590">
        <v>5940</v>
      </c>
      <c r="I590">
        <v>3700.7983260000001</v>
      </c>
      <c r="J590">
        <v>2239.2016739999999</v>
      </c>
      <c r="K590" s="5">
        <f>IF(Table1[[#This Row],[Revenue]]=0, 0, Table1[[#This Row],[Profit]]/Table1[[#This Row],[Revenue]])</f>
        <v>0.37696997878787875</v>
      </c>
    </row>
    <row r="591" spans="1:11" x14ac:dyDescent="0.35">
      <c r="A591" s="1">
        <v>45633</v>
      </c>
      <c r="B591" s="3" t="s">
        <v>27</v>
      </c>
      <c r="C591" s="3" t="s">
        <v>11</v>
      </c>
      <c r="D591" s="3" t="s">
        <v>30</v>
      </c>
      <c r="E591" s="4">
        <v>11</v>
      </c>
      <c r="F591" s="4">
        <v>195</v>
      </c>
      <c r="G591" s="3" t="s">
        <v>13</v>
      </c>
      <c r="H591">
        <v>2145</v>
      </c>
      <c r="I591">
        <v>1486.638064</v>
      </c>
      <c r="J591">
        <v>658.36193619999995</v>
      </c>
      <c r="K591" s="5">
        <f>IF(Table1[[#This Row],[Revenue]]=0, 0, Table1[[#This Row],[Profit]]/Table1[[#This Row],[Revenue]])</f>
        <v>0.30692864158508154</v>
      </c>
    </row>
    <row r="592" spans="1:11" x14ac:dyDescent="0.35">
      <c r="A592" s="1">
        <v>45436</v>
      </c>
      <c r="B592" s="3" t="s">
        <v>10</v>
      </c>
      <c r="C592" s="3" t="s">
        <v>22</v>
      </c>
      <c r="D592" s="3" t="s">
        <v>21</v>
      </c>
      <c r="E592" s="4">
        <v>17</v>
      </c>
      <c r="F592" s="4">
        <v>993</v>
      </c>
      <c r="G592" s="3" t="s">
        <v>13</v>
      </c>
      <c r="H592">
        <v>16881</v>
      </c>
      <c r="I592">
        <v>12694.56523</v>
      </c>
      <c r="J592">
        <v>4186.4347719999996</v>
      </c>
      <c r="K592" s="5">
        <f>IF(Table1[[#This Row],[Revenue]]=0, 0, Table1[[#This Row],[Profit]]/Table1[[#This Row],[Revenue]])</f>
        <v>0.24799684686926127</v>
      </c>
    </row>
    <row r="593" spans="1:11" x14ac:dyDescent="0.35">
      <c r="A593" s="1">
        <v>45618</v>
      </c>
      <c r="B593" s="3" t="s">
        <v>43</v>
      </c>
      <c r="C593" s="3" t="s">
        <v>11</v>
      </c>
      <c r="D593" s="3" t="s">
        <v>32</v>
      </c>
      <c r="E593" s="4">
        <v>3</v>
      </c>
      <c r="F593" s="4">
        <v>-50</v>
      </c>
      <c r="G593" s="3" t="s">
        <v>13</v>
      </c>
      <c r="H593">
        <v>-150</v>
      </c>
      <c r="I593">
        <v>-116.3097046</v>
      </c>
      <c r="J593">
        <v>-33.69029536</v>
      </c>
      <c r="K593" s="5">
        <f>IF(Table1[[#This Row],[Revenue]]=0, 0, Table1[[#This Row],[Profit]]/Table1[[#This Row],[Revenue]])</f>
        <v>0.22460196906666666</v>
      </c>
    </row>
    <row r="594" spans="1:11" x14ac:dyDescent="0.35">
      <c r="A594" s="1">
        <v>45508</v>
      </c>
      <c r="B594" s="3" t="s">
        <v>20</v>
      </c>
      <c r="C594" s="3" t="s">
        <v>28</v>
      </c>
      <c r="D594" s="3" t="s">
        <v>12</v>
      </c>
      <c r="E594" s="4">
        <v>8</v>
      </c>
      <c r="F594" s="4">
        <v>855</v>
      </c>
      <c r="G594" s="3" t="s">
        <v>16</v>
      </c>
      <c r="H594">
        <v>6840</v>
      </c>
      <c r="I594">
        <v>4240.7977110000002</v>
      </c>
      <c r="J594">
        <v>2599.2022889999998</v>
      </c>
      <c r="K594" s="5">
        <f>IF(Table1[[#This Row],[Revenue]]=0, 0, Table1[[#This Row],[Profit]]/Table1[[#This Row],[Revenue]])</f>
        <v>0.38000033464912281</v>
      </c>
    </row>
    <row r="595" spans="1:11" x14ac:dyDescent="0.35">
      <c r="A595" s="1">
        <v>45592</v>
      </c>
      <c r="B595" s="3" t="s">
        <v>23</v>
      </c>
      <c r="C595" s="3" t="s">
        <v>22</v>
      </c>
      <c r="D595" s="3" t="s">
        <v>12</v>
      </c>
      <c r="E595" s="4">
        <v>4</v>
      </c>
      <c r="F595" s="4">
        <v>1209</v>
      </c>
      <c r="G595" s="3" t="s">
        <v>13</v>
      </c>
      <c r="H595">
        <v>4836</v>
      </c>
      <c r="I595">
        <v>3846.7369870000002</v>
      </c>
      <c r="J595">
        <v>989.26301339999998</v>
      </c>
      <c r="K595" s="5">
        <f>IF(Table1[[#This Row],[Revenue]]=0, 0, Table1[[#This Row],[Profit]]/Table1[[#This Row],[Revenue]])</f>
        <v>0.20456224429280395</v>
      </c>
    </row>
    <row r="596" spans="1:11" x14ac:dyDescent="0.35">
      <c r="A596" s="1">
        <v>45423</v>
      </c>
      <c r="B596" s="3" t="s">
        <v>10</v>
      </c>
      <c r="C596" s="3" t="s">
        <v>28</v>
      </c>
      <c r="D596" s="3" t="s">
        <v>21</v>
      </c>
      <c r="E596" s="4">
        <v>7</v>
      </c>
      <c r="F596" s="4">
        <v>514</v>
      </c>
      <c r="G596" s="3" t="s">
        <v>16</v>
      </c>
      <c r="H596">
        <v>3598</v>
      </c>
      <c r="I596">
        <v>2686.4924959999998</v>
      </c>
      <c r="J596">
        <v>911.50750379999999</v>
      </c>
      <c r="K596" s="5">
        <f>IF(Table1[[#This Row],[Revenue]]=0, 0, Table1[[#This Row],[Profit]]/Table1[[#This Row],[Revenue]])</f>
        <v>0.25333727176209003</v>
      </c>
    </row>
    <row r="597" spans="1:11" x14ac:dyDescent="0.35">
      <c r="A597" s="1">
        <v>45583</v>
      </c>
      <c r="B597" s="3" t="s">
        <v>23</v>
      </c>
      <c r="C597" s="3" t="s">
        <v>31</v>
      </c>
      <c r="D597" s="3" t="s">
        <v>30</v>
      </c>
      <c r="E597" s="4">
        <v>14</v>
      </c>
      <c r="F597" s="4">
        <v>493</v>
      </c>
      <c r="G597" s="3" t="s">
        <v>19</v>
      </c>
      <c r="H597">
        <v>6902</v>
      </c>
      <c r="I597">
        <v>5252.9217209999997</v>
      </c>
      <c r="J597">
        <v>1649.0782790000001</v>
      </c>
      <c r="K597" s="5">
        <f>IF(Table1[[#This Row],[Revenue]]=0, 0, Table1[[#This Row],[Profit]]/Table1[[#This Row],[Revenue]])</f>
        <v>0.23892759765285426</v>
      </c>
    </row>
    <row r="598" spans="1:11" x14ac:dyDescent="0.35">
      <c r="A598" s="1">
        <v>45361</v>
      </c>
      <c r="B598" s="3" t="s">
        <v>23</v>
      </c>
      <c r="C598" s="3" t="s">
        <v>26</v>
      </c>
      <c r="D598" s="3" t="s">
        <v>29</v>
      </c>
      <c r="E598" s="4">
        <v>14</v>
      </c>
      <c r="F598" s="4">
        <v>795</v>
      </c>
      <c r="G598" s="3" t="s">
        <v>19</v>
      </c>
      <c r="H598">
        <v>11130</v>
      </c>
      <c r="I598">
        <v>9458.7080939999996</v>
      </c>
      <c r="J598">
        <v>1671.2919059999999</v>
      </c>
      <c r="K598" s="5">
        <f>IF(Table1[[#This Row],[Revenue]]=0, 0, Table1[[#This Row],[Profit]]/Table1[[#This Row],[Revenue]])</f>
        <v>0.15016099784366577</v>
      </c>
    </row>
    <row r="599" spans="1:11" x14ac:dyDescent="0.35">
      <c r="A599" s="1">
        <v>45543</v>
      </c>
      <c r="B599" s="3" t="s">
        <v>10</v>
      </c>
      <c r="C599" s="3" t="s">
        <v>14</v>
      </c>
      <c r="D599" s="3" t="s">
        <v>18</v>
      </c>
      <c r="E599" s="4">
        <v>4</v>
      </c>
      <c r="F599" s="4">
        <v>1756</v>
      </c>
      <c r="G599" s="3" t="s">
        <v>16</v>
      </c>
      <c r="H599">
        <v>7024</v>
      </c>
      <c r="I599">
        <v>4935.5395660000004</v>
      </c>
      <c r="J599">
        <v>2088.4604340000001</v>
      </c>
      <c r="K599" s="5">
        <f>IF(Table1[[#This Row],[Revenue]]=0, 0, Table1[[#This Row],[Profit]]/Table1[[#This Row],[Revenue]])</f>
        <v>0.29733206634396359</v>
      </c>
    </row>
    <row r="600" spans="1:11" x14ac:dyDescent="0.35">
      <c r="A600" s="1">
        <v>45566</v>
      </c>
      <c r="B600" s="3" t="s">
        <v>23</v>
      </c>
      <c r="C600" s="3" t="s">
        <v>31</v>
      </c>
      <c r="D600" s="3" t="s">
        <v>18</v>
      </c>
      <c r="E600" s="4">
        <v>16</v>
      </c>
      <c r="F600" s="4">
        <v>943</v>
      </c>
      <c r="G600" s="3" t="s">
        <v>19</v>
      </c>
      <c r="H600">
        <v>15088</v>
      </c>
      <c r="I600">
        <v>9840.6249499999994</v>
      </c>
      <c r="J600">
        <v>5247.3750499999996</v>
      </c>
      <c r="K600" s="5">
        <f>IF(Table1[[#This Row],[Revenue]]=0, 0, Table1[[#This Row],[Profit]]/Table1[[#This Row],[Revenue]])</f>
        <v>0.34778466662248142</v>
      </c>
    </row>
    <row r="601" spans="1:11" x14ac:dyDescent="0.35">
      <c r="A601" s="1">
        <v>45655</v>
      </c>
      <c r="B601" s="3" t="s">
        <v>10</v>
      </c>
      <c r="C601" s="3" t="s">
        <v>14</v>
      </c>
      <c r="D601" s="3" t="s">
        <v>12</v>
      </c>
      <c r="E601" s="4">
        <v>1</v>
      </c>
      <c r="F601" s="4">
        <v>1624</v>
      </c>
      <c r="G601" s="3" t="s">
        <v>16</v>
      </c>
      <c r="H601">
        <v>1624</v>
      </c>
      <c r="I601">
        <v>1243.2419179999999</v>
      </c>
      <c r="J601">
        <v>380.75808239999998</v>
      </c>
      <c r="K601" s="5">
        <f>IF(Table1[[#This Row],[Revenue]]=0, 0, Table1[[#This Row],[Profit]]/Table1[[#This Row],[Revenue]])</f>
        <v>0.23445694729064037</v>
      </c>
    </row>
    <row r="602" spans="1:11" x14ac:dyDescent="0.35">
      <c r="A602" s="1">
        <v>45473</v>
      </c>
      <c r="B602" s="3" t="s">
        <v>10</v>
      </c>
      <c r="C602" s="3" t="s">
        <v>26</v>
      </c>
      <c r="D602" s="3" t="s">
        <v>12</v>
      </c>
      <c r="E602" s="4">
        <v>17</v>
      </c>
      <c r="F602" s="4">
        <v>703</v>
      </c>
      <c r="G602" s="3" t="s">
        <v>19</v>
      </c>
      <c r="H602">
        <v>11951</v>
      </c>
      <c r="I602">
        <v>10558.78708</v>
      </c>
      <c r="J602">
        <v>1392.2129190000001</v>
      </c>
      <c r="K602" s="5">
        <f>IF(Table1[[#This Row],[Revenue]]=0, 0, Table1[[#This Row],[Profit]]/Table1[[#This Row],[Revenue]])</f>
        <v>0.11649342473433186</v>
      </c>
    </row>
    <row r="603" spans="1:11" x14ac:dyDescent="0.35">
      <c r="A603" s="1">
        <v>45458</v>
      </c>
      <c r="B603" s="3" t="s">
        <v>20</v>
      </c>
      <c r="C603" s="3" t="s">
        <v>28</v>
      </c>
      <c r="D603" s="3" t="s">
        <v>29</v>
      </c>
      <c r="E603" s="4">
        <v>10</v>
      </c>
      <c r="F603" s="4">
        <v>681</v>
      </c>
      <c r="G603" s="3" t="s">
        <v>16</v>
      </c>
      <c r="H603">
        <v>6810</v>
      </c>
      <c r="I603">
        <v>5144.0076319999998</v>
      </c>
      <c r="J603">
        <v>1665.9923679999999</v>
      </c>
      <c r="K603" s="5">
        <f>IF(Table1[[#This Row],[Revenue]]=0, 0, Table1[[#This Row],[Profit]]/Table1[[#This Row],[Revenue]])</f>
        <v>0.24463911424375917</v>
      </c>
    </row>
    <row r="604" spans="1:11" x14ac:dyDescent="0.35">
      <c r="A604" s="1">
        <v>45382</v>
      </c>
      <c r="B604" s="3" t="s">
        <v>27</v>
      </c>
      <c r="C604" s="3" t="s">
        <v>26</v>
      </c>
      <c r="D604" s="3" t="s">
        <v>25</v>
      </c>
      <c r="E604" s="4">
        <v>16</v>
      </c>
      <c r="F604" s="4">
        <v>232</v>
      </c>
      <c r="G604" s="3" t="s">
        <v>19</v>
      </c>
      <c r="H604">
        <v>3712</v>
      </c>
      <c r="I604">
        <v>3153.617397</v>
      </c>
      <c r="J604">
        <v>558.38260290000005</v>
      </c>
      <c r="K604" s="5">
        <f>IF(Table1[[#This Row],[Revenue]]=0, 0, Table1[[#This Row],[Profit]]/Table1[[#This Row],[Revenue]])</f>
        <v>0.15042634776400862</v>
      </c>
    </row>
    <row r="605" spans="1:11" x14ac:dyDescent="0.35">
      <c r="A605" s="1">
        <v>45493</v>
      </c>
      <c r="B605" s="3" t="s">
        <v>27</v>
      </c>
      <c r="C605" s="3" t="s">
        <v>14</v>
      </c>
      <c r="D605" s="3" t="s">
        <v>30</v>
      </c>
      <c r="E605" s="4">
        <v>16</v>
      </c>
      <c r="F605" s="4">
        <v>890</v>
      </c>
      <c r="G605" s="3" t="s">
        <v>16</v>
      </c>
      <c r="H605">
        <v>14240</v>
      </c>
      <c r="I605">
        <v>11778.040940000001</v>
      </c>
      <c r="J605">
        <v>2461.9590629999998</v>
      </c>
      <c r="K605" s="5">
        <f>IF(Table1[[#This Row],[Revenue]]=0, 0, Table1[[#This Row],[Profit]]/Table1[[#This Row],[Revenue]])</f>
        <v>0.17289038363764042</v>
      </c>
    </row>
    <row r="606" spans="1:11" x14ac:dyDescent="0.35">
      <c r="A606" s="1">
        <v>45637</v>
      </c>
      <c r="B606" s="3" t="s">
        <v>23</v>
      </c>
      <c r="C606" s="3" t="s">
        <v>14</v>
      </c>
      <c r="D606" s="3" t="s">
        <v>12</v>
      </c>
      <c r="E606" s="4">
        <v>8</v>
      </c>
      <c r="F606" s="4">
        <v>748</v>
      </c>
      <c r="G606" s="3" t="s">
        <v>16</v>
      </c>
      <c r="H606">
        <v>5984</v>
      </c>
      <c r="I606">
        <v>4520.9074289999999</v>
      </c>
      <c r="J606">
        <v>1463.0925709999999</v>
      </c>
      <c r="K606" s="5">
        <f>IF(Table1[[#This Row],[Revenue]]=0, 0, Table1[[#This Row],[Profit]]/Table1[[#This Row],[Revenue]])</f>
        <v>0.24450076387032085</v>
      </c>
    </row>
    <row r="607" spans="1:11" x14ac:dyDescent="0.35">
      <c r="A607" s="1">
        <v>45310</v>
      </c>
      <c r="B607" s="3" t="s">
        <v>23</v>
      </c>
      <c r="C607" s="3" t="s">
        <v>11</v>
      </c>
      <c r="D607" s="3" t="s">
        <v>12</v>
      </c>
      <c r="E607" s="4">
        <v>7</v>
      </c>
      <c r="F607" s="4">
        <v>1437</v>
      </c>
      <c r="G607" s="3" t="s">
        <v>13</v>
      </c>
      <c r="H607">
        <v>10059</v>
      </c>
      <c r="I607">
        <v>7989.5260529999996</v>
      </c>
      <c r="J607">
        <v>2069.473947</v>
      </c>
      <c r="K607" s="5">
        <f>IF(Table1[[#This Row],[Revenue]]=0, 0, Table1[[#This Row],[Profit]]/Table1[[#This Row],[Revenue]])</f>
        <v>0.20573356665672532</v>
      </c>
    </row>
    <row r="608" spans="1:11" x14ac:dyDescent="0.35">
      <c r="A608" s="1">
        <v>45330</v>
      </c>
      <c r="B608" s="3" t="s">
        <v>20</v>
      </c>
      <c r="C608" s="3" t="s">
        <v>24</v>
      </c>
      <c r="D608" s="3" t="s">
        <v>12</v>
      </c>
      <c r="E608" s="4">
        <v>6</v>
      </c>
      <c r="F608" s="4">
        <v>1822</v>
      </c>
      <c r="G608" s="3" t="s">
        <v>19</v>
      </c>
      <c r="H608">
        <v>10932</v>
      </c>
      <c r="I608">
        <v>7892.9483319999999</v>
      </c>
      <c r="J608">
        <v>3039.0516680000001</v>
      </c>
      <c r="K608" s="5">
        <f>IF(Table1[[#This Row],[Revenue]]=0, 0, Table1[[#This Row],[Profit]]/Table1[[#This Row],[Revenue]])</f>
        <v>0.27799594474935968</v>
      </c>
    </row>
    <row r="609" spans="1:11" x14ac:dyDescent="0.35">
      <c r="A609" s="1">
        <v>45417</v>
      </c>
      <c r="B609" s="3" t="s">
        <v>20</v>
      </c>
      <c r="C609" s="3" t="s">
        <v>31</v>
      </c>
      <c r="D609" s="3" t="s">
        <v>18</v>
      </c>
      <c r="E609" s="4">
        <v>16</v>
      </c>
      <c r="F609" s="4">
        <v>320</v>
      </c>
      <c r="G609" s="3" t="s">
        <v>19</v>
      </c>
      <c r="H609">
        <v>5120</v>
      </c>
      <c r="I609">
        <v>3887.045666</v>
      </c>
      <c r="J609">
        <v>1232.954334</v>
      </c>
      <c r="K609" s="5">
        <f>IF(Table1[[#This Row],[Revenue]]=0, 0, Table1[[#This Row],[Profit]]/Table1[[#This Row],[Revenue]])</f>
        <v>0.24081139335937501</v>
      </c>
    </row>
    <row r="610" spans="1:11" x14ac:dyDescent="0.35">
      <c r="A610" s="1">
        <v>45464</v>
      </c>
      <c r="B610" s="3" t="s">
        <v>20</v>
      </c>
      <c r="C610" s="3" t="s">
        <v>22</v>
      </c>
      <c r="D610" s="3" t="s">
        <v>30</v>
      </c>
      <c r="E610" s="4">
        <v>16</v>
      </c>
      <c r="F610" s="4">
        <v>1075</v>
      </c>
      <c r="G610" s="3" t="s">
        <v>13</v>
      </c>
      <c r="H610">
        <v>17200</v>
      </c>
      <c r="I610">
        <v>12937.594499999999</v>
      </c>
      <c r="J610">
        <v>4262.405503</v>
      </c>
      <c r="K610" s="5">
        <f>IF(Table1[[#This Row],[Revenue]]=0, 0, Table1[[#This Row],[Profit]]/Table1[[#This Row],[Revenue]])</f>
        <v>0.24781427343023255</v>
      </c>
    </row>
    <row r="611" spans="1:11" x14ac:dyDescent="0.35">
      <c r="A611" s="1">
        <v>45432</v>
      </c>
      <c r="B611" s="3" t="s">
        <v>10</v>
      </c>
      <c r="C611" s="3" t="s">
        <v>14</v>
      </c>
      <c r="D611" s="3" t="s">
        <v>32</v>
      </c>
      <c r="E611" s="4">
        <v>7</v>
      </c>
      <c r="F611" s="4">
        <v>1561</v>
      </c>
      <c r="G611" s="3" t="s">
        <v>16</v>
      </c>
      <c r="H611">
        <v>10927</v>
      </c>
      <c r="I611">
        <v>8880.7346809999999</v>
      </c>
      <c r="J611">
        <v>2046.2653190000001</v>
      </c>
      <c r="K611" s="5">
        <f>IF(Table1[[#This Row],[Revenue]]=0, 0, Table1[[#This Row],[Profit]]/Table1[[#This Row],[Revenue]])</f>
        <v>0.18726689109545164</v>
      </c>
    </row>
    <row r="612" spans="1:11" x14ac:dyDescent="0.35">
      <c r="A612" s="1">
        <v>45533</v>
      </c>
      <c r="B612" s="3" t="s">
        <v>20</v>
      </c>
      <c r="C612" s="3" t="s">
        <v>31</v>
      </c>
      <c r="D612" s="3" t="s">
        <v>30</v>
      </c>
      <c r="E612" s="4">
        <v>9</v>
      </c>
      <c r="F612" s="4">
        <v>1169</v>
      </c>
      <c r="G612" s="3" t="s">
        <v>19</v>
      </c>
      <c r="H612">
        <v>10521</v>
      </c>
      <c r="I612">
        <v>7606.6240379999999</v>
      </c>
      <c r="J612">
        <v>2914.3759620000001</v>
      </c>
      <c r="K612" s="5">
        <f>IF(Table1[[#This Row],[Revenue]]=0, 0, Table1[[#This Row],[Profit]]/Table1[[#This Row],[Revenue]])</f>
        <v>0.27700560422013115</v>
      </c>
    </row>
    <row r="613" spans="1:11" x14ac:dyDescent="0.35">
      <c r="A613" s="1">
        <v>45417</v>
      </c>
      <c r="B613" s="3" t="s">
        <v>23</v>
      </c>
      <c r="C613" s="3" t="s">
        <v>26</v>
      </c>
      <c r="D613" s="3" t="s">
        <v>29</v>
      </c>
      <c r="E613" s="4">
        <v>11</v>
      </c>
      <c r="F613" s="4">
        <v>1315</v>
      </c>
      <c r="G613" s="3" t="s">
        <v>19</v>
      </c>
      <c r="H613">
        <v>14465</v>
      </c>
      <c r="I613">
        <v>12101.60497</v>
      </c>
      <c r="J613">
        <v>2363.3950260000001</v>
      </c>
      <c r="K613" s="5">
        <f>IF(Table1[[#This Row],[Revenue]]=0, 0, Table1[[#This Row],[Profit]]/Table1[[#This Row],[Revenue]])</f>
        <v>0.16338714317317665</v>
      </c>
    </row>
    <row r="614" spans="1:11" x14ac:dyDescent="0.35">
      <c r="A614" s="1">
        <v>45349</v>
      </c>
      <c r="B614" s="3" t="s">
        <v>20</v>
      </c>
      <c r="C614" s="3" t="s">
        <v>11</v>
      </c>
      <c r="D614" s="3" t="s">
        <v>25</v>
      </c>
      <c r="E614" s="4">
        <v>14</v>
      </c>
      <c r="F614" s="4">
        <v>1643</v>
      </c>
      <c r="G614" s="3" t="s">
        <v>13</v>
      </c>
      <c r="H614">
        <v>23002</v>
      </c>
      <c r="I614">
        <v>18527.09663</v>
      </c>
      <c r="J614">
        <v>4474.9033650000001</v>
      </c>
      <c r="K614" s="5">
        <f>IF(Table1[[#This Row],[Revenue]]=0, 0, Table1[[#This Row],[Profit]]/Table1[[#This Row],[Revenue]])</f>
        <v>0.19454409899139205</v>
      </c>
    </row>
    <row r="615" spans="1:11" x14ac:dyDescent="0.35">
      <c r="A615" s="1">
        <v>45439</v>
      </c>
      <c r="B615" s="3" t="s">
        <v>10</v>
      </c>
      <c r="C615" s="3" t="s">
        <v>17</v>
      </c>
      <c r="D615" s="3" t="s">
        <v>12</v>
      </c>
      <c r="E615" s="4">
        <v>7</v>
      </c>
      <c r="F615" s="4">
        <v>1502</v>
      </c>
      <c r="G615" s="3" t="s">
        <v>19</v>
      </c>
      <c r="H615">
        <v>10514</v>
      </c>
      <c r="I615">
        <v>9305.2794030000005</v>
      </c>
      <c r="J615">
        <v>1208.720597</v>
      </c>
      <c r="K615" s="5">
        <f>IF(Table1[[#This Row],[Revenue]]=0, 0, Table1[[#This Row],[Profit]]/Table1[[#This Row],[Revenue]])</f>
        <v>0.11496296338215713</v>
      </c>
    </row>
    <row r="616" spans="1:11" x14ac:dyDescent="0.35">
      <c r="A616" s="1">
        <v>45608</v>
      </c>
      <c r="B616" s="3" t="s">
        <v>10</v>
      </c>
      <c r="C616" s="3" t="s">
        <v>17</v>
      </c>
      <c r="D616" s="3" t="s">
        <v>12</v>
      </c>
      <c r="E616" s="4">
        <v>1</v>
      </c>
      <c r="F616" s="4">
        <v>887</v>
      </c>
      <c r="G616" s="3" t="s">
        <v>19</v>
      </c>
      <c r="H616">
        <v>887</v>
      </c>
      <c r="I616">
        <v>646.2813744</v>
      </c>
      <c r="J616">
        <v>240.7186256</v>
      </c>
      <c r="K616" s="5">
        <f>IF(Table1[[#This Row],[Revenue]]=0, 0, Table1[[#This Row],[Profit]]/Table1[[#This Row],[Revenue]])</f>
        <v>0.27138514723788049</v>
      </c>
    </row>
    <row r="617" spans="1:11" x14ac:dyDescent="0.35">
      <c r="A617" s="1">
        <v>45652</v>
      </c>
      <c r="B617" s="3" t="s">
        <v>23</v>
      </c>
      <c r="C617" s="3" t="s">
        <v>22</v>
      </c>
      <c r="D617" s="3" t="s">
        <v>30</v>
      </c>
      <c r="E617" s="4">
        <v>13</v>
      </c>
      <c r="F617" s="4">
        <v>790</v>
      </c>
      <c r="G617" s="3" t="s">
        <v>13</v>
      </c>
      <c r="H617">
        <v>10270</v>
      </c>
      <c r="I617">
        <v>6402.9516290000001</v>
      </c>
      <c r="J617">
        <v>3867.0483709999999</v>
      </c>
      <c r="K617" s="5">
        <f>IF(Table1[[#This Row],[Revenue]]=0, 0, Table1[[#This Row],[Profit]]/Table1[[#This Row],[Revenue]])</f>
        <v>0.3765383029211295</v>
      </c>
    </row>
    <row r="618" spans="1:11" x14ac:dyDescent="0.35">
      <c r="A618" s="1">
        <v>45292</v>
      </c>
      <c r="B618" s="3" t="s">
        <v>20</v>
      </c>
      <c r="C618" s="3" t="s">
        <v>11</v>
      </c>
      <c r="D618" s="3" t="s">
        <v>25</v>
      </c>
      <c r="E618" s="4">
        <v>3</v>
      </c>
      <c r="F618" s="4">
        <v>1457</v>
      </c>
      <c r="G618" s="3" t="s">
        <v>13</v>
      </c>
      <c r="H618">
        <v>4371</v>
      </c>
      <c r="I618">
        <v>2782.0789770000001</v>
      </c>
      <c r="J618">
        <v>1588.9210230000001</v>
      </c>
      <c r="K618" s="5">
        <f>IF(Table1[[#This Row],[Revenue]]=0, 0, Table1[[#This Row],[Profit]]/Table1[[#This Row],[Revenue]])</f>
        <v>0.36351430404941665</v>
      </c>
    </row>
    <row r="619" spans="1:11" x14ac:dyDescent="0.35">
      <c r="A619" s="1">
        <v>45639</v>
      </c>
      <c r="B619" s="3" t="s">
        <v>20</v>
      </c>
      <c r="C619" s="3" t="s">
        <v>28</v>
      </c>
      <c r="D619" s="3" t="s">
        <v>12</v>
      </c>
      <c r="E619" s="4">
        <v>4</v>
      </c>
      <c r="F619" s="4">
        <v>138</v>
      </c>
      <c r="G619" s="3" t="s">
        <v>16</v>
      </c>
      <c r="H619">
        <v>552</v>
      </c>
      <c r="I619">
        <v>459.26171640000001</v>
      </c>
      <c r="J619">
        <v>92.73828365</v>
      </c>
      <c r="K619" s="5">
        <f>IF(Table1[[#This Row],[Revenue]]=0, 0, Table1[[#This Row],[Profit]]/Table1[[#This Row],[Revenue]])</f>
        <v>0.16800413704710146</v>
      </c>
    </row>
    <row r="620" spans="1:11" x14ac:dyDescent="0.35">
      <c r="A620" s="1">
        <v>45481</v>
      </c>
      <c r="B620" s="3" t="s">
        <v>10</v>
      </c>
      <c r="C620" s="3" t="s">
        <v>22</v>
      </c>
      <c r="D620" s="3" t="s">
        <v>25</v>
      </c>
      <c r="E620" s="4">
        <v>11</v>
      </c>
      <c r="F620" s="4">
        <v>1416</v>
      </c>
      <c r="G620" s="3" t="s">
        <v>13</v>
      </c>
      <c r="H620">
        <v>15576</v>
      </c>
      <c r="I620">
        <v>9662.2162310000003</v>
      </c>
      <c r="J620">
        <v>5913.7837689999997</v>
      </c>
      <c r="K620" s="5">
        <f>IF(Table1[[#This Row],[Revenue]]=0, 0, Table1[[#This Row],[Profit]]/Table1[[#This Row],[Revenue]])</f>
        <v>0.37967281516435541</v>
      </c>
    </row>
    <row r="621" spans="1:11" x14ac:dyDescent="0.35">
      <c r="A621" s="1">
        <v>45482</v>
      </c>
      <c r="B621" s="3" t="s">
        <v>20</v>
      </c>
      <c r="C621" s="3" t="s">
        <v>28</v>
      </c>
      <c r="D621" s="3" t="s">
        <v>32</v>
      </c>
      <c r="E621" s="4">
        <v>2</v>
      </c>
      <c r="F621" s="4">
        <v>789</v>
      </c>
      <c r="G621" s="3" t="s">
        <v>16</v>
      </c>
      <c r="H621">
        <v>1578</v>
      </c>
      <c r="I621">
        <v>1376.564897</v>
      </c>
      <c r="J621">
        <v>201.435103</v>
      </c>
      <c r="K621" s="5">
        <f>IF(Table1[[#This Row],[Revenue]]=0, 0, Table1[[#This Row],[Profit]]/Table1[[#This Row],[Revenue]])</f>
        <v>0.12765215652724968</v>
      </c>
    </row>
    <row r="622" spans="1:11" x14ac:dyDescent="0.35">
      <c r="A622" s="1">
        <v>45603</v>
      </c>
      <c r="B622" s="3" t="s">
        <v>20</v>
      </c>
      <c r="C622" s="3" t="s">
        <v>22</v>
      </c>
      <c r="D622" s="3" t="s">
        <v>15</v>
      </c>
      <c r="E622" s="4">
        <v>14</v>
      </c>
      <c r="F622" s="4">
        <v>261</v>
      </c>
      <c r="G622" s="3" t="s">
        <v>13</v>
      </c>
      <c r="H622">
        <v>3654</v>
      </c>
      <c r="I622">
        <v>2501.1448519999999</v>
      </c>
      <c r="J622">
        <v>1152.8551480000001</v>
      </c>
      <c r="K622" s="5">
        <f>IF(Table1[[#This Row],[Revenue]]=0, 0, Table1[[#This Row],[Profit]]/Table1[[#This Row],[Revenue]])</f>
        <v>0.31550496661193217</v>
      </c>
    </row>
    <row r="623" spans="1:11" x14ac:dyDescent="0.35">
      <c r="A623" s="1">
        <v>45408</v>
      </c>
      <c r="B623" s="3" t="s">
        <v>20</v>
      </c>
      <c r="C623" s="3" t="s">
        <v>17</v>
      </c>
      <c r="D623" s="3" t="s">
        <v>29</v>
      </c>
      <c r="E623" s="4">
        <v>12</v>
      </c>
      <c r="F623" s="4">
        <v>1454</v>
      </c>
      <c r="G623" s="3" t="s">
        <v>19</v>
      </c>
      <c r="H623">
        <v>17448</v>
      </c>
      <c r="I623">
        <v>15173.892449999999</v>
      </c>
      <c r="J623">
        <v>2274.1075500000002</v>
      </c>
      <c r="K623" s="5">
        <f>IF(Table1[[#This Row],[Revenue]]=0, 0, Table1[[#This Row],[Profit]]/Table1[[#This Row],[Revenue]])</f>
        <v>0.13033628782668502</v>
      </c>
    </row>
    <row r="624" spans="1:11" x14ac:dyDescent="0.35">
      <c r="A624" s="1">
        <v>45425</v>
      </c>
      <c r="B624" s="3" t="s">
        <v>27</v>
      </c>
      <c r="C624" s="3" t="s">
        <v>22</v>
      </c>
      <c r="D624" s="3" t="s">
        <v>25</v>
      </c>
      <c r="E624" s="4">
        <v>17</v>
      </c>
      <c r="F624" s="4">
        <v>1227</v>
      </c>
      <c r="G624" s="3" t="s">
        <v>13</v>
      </c>
      <c r="H624">
        <v>20859</v>
      </c>
      <c r="I624">
        <v>17355.773809999999</v>
      </c>
      <c r="J624">
        <v>3503.2261920000001</v>
      </c>
      <c r="K624" s="5">
        <f>IF(Table1[[#This Row],[Revenue]]=0, 0, Table1[[#This Row],[Profit]]/Table1[[#This Row],[Revenue]])</f>
        <v>0.16794794534733209</v>
      </c>
    </row>
    <row r="625" spans="1:11" x14ac:dyDescent="0.35">
      <c r="A625" s="1">
        <v>45349</v>
      </c>
      <c r="B625" s="3" t="s">
        <v>23</v>
      </c>
      <c r="C625" s="3" t="s">
        <v>17</v>
      </c>
      <c r="D625" s="3" t="s">
        <v>18</v>
      </c>
      <c r="E625" s="4">
        <v>12</v>
      </c>
      <c r="F625" s="4">
        <v>260</v>
      </c>
      <c r="G625" s="3" t="s">
        <v>19</v>
      </c>
      <c r="H625">
        <v>3120</v>
      </c>
      <c r="I625">
        <v>2687.4441700000002</v>
      </c>
      <c r="J625">
        <v>432.55583000000001</v>
      </c>
      <c r="K625" s="5">
        <f>IF(Table1[[#This Row],[Revenue]]=0, 0, Table1[[#This Row],[Profit]]/Table1[[#This Row],[Revenue]])</f>
        <v>0.13863968910256411</v>
      </c>
    </row>
    <row r="626" spans="1:11" x14ac:dyDescent="0.35">
      <c r="A626" s="1">
        <v>45335</v>
      </c>
      <c r="B626" s="3" t="s">
        <v>27</v>
      </c>
      <c r="C626" s="3" t="s">
        <v>14</v>
      </c>
      <c r="D626" s="3" t="s">
        <v>21</v>
      </c>
      <c r="E626" s="4">
        <v>12</v>
      </c>
      <c r="F626" s="4">
        <v>1922</v>
      </c>
      <c r="G626" s="3" t="s">
        <v>16</v>
      </c>
      <c r="H626">
        <v>23064</v>
      </c>
      <c r="I626">
        <v>15319.38344</v>
      </c>
      <c r="J626">
        <v>7744.6165650000003</v>
      </c>
      <c r="K626" s="5">
        <f>IF(Table1[[#This Row],[Revenue]]=0, 0, Table1[[#This Row],[Profit]]/Table1[[#This Row],[Revenue]])</f>
        <v>0.33578809248178981</v>
      </c>
    </row>
    <row r="627" spans="1:11" x14ac:dyDescent="0.35">
      <c r="A627" s="1">
        <v>45464</v>
      </c>
      <c r="B627" s="3" t="s">
        <v>23</v>
      </c>
      <c r="C627" s="3" t="s">
        <v>26</v>
      </c>
      <c r="D627" s="3" t="s">
        <v>18</v>
      </c>
      <c r="E627" s="4">
        <v>1</v>
      </c>
      <c r="F627" s="4">
        <v>1758</v>
      </c>
      <c r="G627" s="3" t="s">
        <v>19</v>
      </c>
      <c r="H627">
        <v>1758</v>
      </c>
      <c r="I627">
        <v>1368.96875</v>
      </c>
      <c r="J627">
        <v>389.03125030000001</v>
      </c>
      <c r="K627" s="5">
        <f>IF(Table1[[#This Row],[Revenue]]=0, 0, Table1[[#This Row],[Profit]]/Table1[[#This Row],[Revenue]])</f>
        <v>0.22129195125142206</v>
      </c>
    </row>
    <row r="628" spans="1:11" x14ac:dyDescent="0.35">
      <c r="A628" s="1">
        <v>45451</v>
      </c>
      <c r="B628" s="3" t="s">
        <v>10</v>
      </c>
      <c r="C628" s="3" t="s">
        <v>28</v>
      </c>
      <c r="D628" s="3" t="s">
        <v>12</v>
      </c>
      <c r="E628" s="4">
        <v>13</v>
      </c>
      <c r="F628" s="4">
        <v>1177</v>
      </c>
      <c r="G628" s="3" t="s">
        <v>16</v>
      </c>
      <c r="H628">
        <v>15301</v>
      </c>
      <c r="I628">
        <v>9610.2021929999992</v>
      </c>
      <c r="J628">
        <v>5690.7978069999999</v>
      </c>
      <c r="K628" s="5">
        <f>IF(Table1[[#This Row],[Revenue]]=0, 0, Table1[[#This Row],[Profit]]/Table1[[#This Row],[Revenue]])</f>
        <v>0.3719232603751389</v>
      </c>
    </row>
    <row r="629" spans="1:11" x14ac:dyDescent="0.35">
      <c r="A629" s="1">
        <v>45464</v>
      </c>
      <c r="B629" s="3" t="s">
        <v>20</v>
      </c>
      <c r="C629" s="3" t="s">
        <v>11</v>
      </c>
      <c r="D629" s="3" t="s">
        <v>32</v>
      </c>
      <c r="E629" s="4">
        <v>14</v>
      </c>
      <c r="F629" s="4">
        <v>1157</v>
      </c>
      <c r="G629" s="3" t="s">
        <v>13</v>
      </c>
      <c r="H629">
        <v>16198</v>
      </c>
      <c r="I629">
        <v>10701.76316</v>
      </c>
      <c r="J629">
        <v>5496.2368379999998</v>
      </c>
      <c r="K629" s="5">
        <f>IF(Table1[[#This Row],[Revenue]]=0, 0, Table1[[#This Row],[Profit]]/Table1[[#This Row],[Revenue]])</f>
        <v>0.33931576972465738</v>
      </c>
    </row>
    <row r="630" spans="1:11" x14ac:dyDescent="0.35">
      <c r="A630" s="1">
        <v>45608</v>
      </c>
      <c r="B630" s="3" t="s">
        <v>23</v>
      </c>
      <c r="C630" s="3" t="s">
        <v>14</v>
      </c>
      <c r="D630" s="3" t="s">
        <v>32</v>
      </c>
      <c r="E630" s="4">
        <v>2</v>
      </c>
      <c r="F630" s="4">
        <v>341</v>
      </c>
      <c r="G630" s="3" t="s">
        <v>16</v>
      </c>
      <c r="H630">
        <v>682</v>
      </c>
      <c r="I630">
        <v>472.60599569999999</v>
      </c>
      <c r="J630">
        <v>209.39400430000001</v>
      </c>
      <c r="K630" s="5">
        <f>IF(Table1[[#This Row],[Revenue]]=0, 0, Table1[[#This Row],[Profit]]/Table1[[#This Row],[Revenue]])</f>
        <v>0.30702933181818182</v>
      </c>
    </row>
    <row r="631" spans="1:11" x14ac:dyDescent="0.35">
      <c r="A631" s="1">
        <v>45594</v>
      </c>
      <c r="B631" s="3" t="s">
        <v>27</v>
      </c>
      <c r="C631" s="3" t="s">
        <v>14</v>
      </c>
      <c r="D631" s="3" t="s">
        <v>18</v>
      </c>
      <c r="E631" s="4">
        <v>12</v>
      </c>
      <c r="F631" s="4">
        <v>1066</v>
      </c>
      <c r="G631" s="3" t="s">
        <v>16</v>
      </c>
      <c r="H631">
        <v>12792</v>
      </c>
      <c r="I631">
        <v>10518.142400000001</v>
      </c>
      <c r="J631">
        <v>2273.8575989999999</v>
      </c>
      <c r="K631" s="5">
        <f>IF(Table1[[#This Row],[Revenue]]=0, 0, Table1[[#This Row],[Profit]]/Table1[[#This Row],[Revenue]])</f>
        <v>0.17775622256097562</v>
      </c>
    </row>
    <row r="632" spans="1:11" x14ac:dyDescent="0.35">
      <c r="A632" s="1">
        <v>45440</v>
      </c>
      <c r="B632" s="3" t="s">
        <v>20</v>
      </c>
      <c r="C632" s="3" t="s">
        <v>22</v>
      </c>
      <c r="D632" s="3" t="s">
        <v>29</v>
      </c>
      <c r="E632" s="4">
        <v>16</v>
      </c>
      <c r="F632" s="4">
        <v>989</v>
      </c>
      <c r="G632" s="3" t="s">
        <v>13</v>
      </c>
      <c r="H632">
        <v>15824</v>
      </c>
      <c r="I632">
        <v>9611.7241020000001</v>
      </c>
      <c r="J632">
        <v>6212.2758979999999</v>
      </c>
      <c r="K632" s="5">
        <f>IF(Table1[[#This Row],[Revenue]]=0, 0, Table1[[#This Row],[Profit]]/Table1[[#This Row],[Revenue]])</f>
        <v>0.3925856861729019</v>
      </c>
    </row>
    <row r="633" spans="1:11" x14ac:dyDescent="0.35">
      <c r="A633" s="1">
        <v>45371</v>
      </c>
      <c r="B633" s="3" t="s">
        <v>10</v>
      </c>
      <c r="C633" s="3" t="s">
        <v>17</v>
      </c>
      <c r="D633" s="3" t="s">
        <v>18</v>
      </c>
      <c r="E633" s="4">
        <v>4</v>
      </c>
      <c r="F633" s="4">
        <v>212</v>
      </c>
      <c r="G633" s="3" t="s">
        <v>19</v>
      </c>
      <c r="H633">
        <v>848</v>
      </c>
      <c r="I633">
        <v>738.55303679999997</v>
      </c>
      <c r="J633">
        <v>109.4469632</v>
      </c>
      <c r="K633" s="5">
        <f>IF(Table1[[#This Row],[Revenue]]=0, 0, Table1[[#This Row],[Profit]]/Table1[[#This Row],[Revenue]])</f>
        <v>0.12906481509433962</v>
      </c>
    </row>
    <row r="634" spans="1:11" x14ac:dyDescent="0.35">
      <c r="A634" s="1">
        <v>45504</v>
      </c>
      <c r="B634" s="3" t="s">
        <v>23</v>
      </c>
      <c r="C634" s="3" t="s">
        <v>31</v>
      </c>
      <c r="D634" s="3" t="s">
        <v>30</v>
      </c>
      <c r="E634" s="4">
        <v>8</v>
      </c>
      <c r="F634" s="4">
        <v>1113</v>
      </c>
      <c r="G634" s="3" t="s">
        <v>19</v>
      </c>
      <c r="H634">
        <v>8904</v>
      </c>
      <c r="I634">
        <v>5531.5303459999996</v>
      </c>
      <c r="J634">
        <v>3372.469654</v>
      </c>
      <c r="K634" s="5">
        <f>IF(Table1[[#This Row],[Revenue]]=0, 0, Table1[[#This Row],[Profit]]/Table1[[#This Row],[Revenue]])</f>
        <v>0.37875894586702608</v>
      </c>
    </row>
    <row r="635" spans="1:11" x14ac:dyDescent="0.35">
      <c r="A635" s="1">
        <v>45494</v>
      </c>
      <c r="B635" s="3" t="s">
        <v>23</v>
      </c>
      <c r="C635" s="3" t="s">
        <v>28</v>
      </c>
      <c r="D635" s="3" t="s">
        <v>12</v>
      </c>
      <c r="E635" s="4">
        <v>2</v>
      </c>
      <c r="F635" s="4">
        <v>417</v>
      </c>
      <c r="G635" s="3" t="s">
        <v>16</v>
      </c>
      <c r="H635">
        <v>834</v>
      </c>
      <c r="I635">
        <v>594.59784690000004</v>
      </c>
      <c r="J635">
        <v>239.40215309999999</v>
      </c>
      <c r="K635" s="5">
        <f>IF(Table1[[#This Row],[Revenue]]=0, 0, Table1[[#This Row],[Profit]]/Table1[[#This Row],[Revenue]])</f>
        <v>0.28705294136690646</v>
      </c>
    </row>
    <row r="636" spans="1:11" x14ac:dyDescent="0.35">
      <c r="A636" s="1">
        <v>45543</v>
      </c>
      <c r="B636" s="3" t="s">
        <v>23</v>
      </c>
      <c r="C636" s="3" t="s">
        <v>14</v>
      </c>
      <c r="D636" s="3" t="s">
        <v>12</v>
      </c>
      <c r="E636" s="4">
        <v>10</v>
      </c>
      <c r="F636" s="4">
        <v>122</v>
      </c>
      <c r="G636" s="3" t="s">
        <v>16</v>
      </c>
      <c r="H636">
        <v>1220</v>
      </c>
      <c r="I636">
        <v>761.67880400000001</v>
      </c>
      <c r="J636">
        <v>458.32119599999999</v>
      </c>
      <c r="K636" s="5">
        <f>IF(Table1[[#This Row],[Revenue]]=0, 0, Table1[[#This Row],[Profit]]/Table1[[#This Row],[Revenue]])</f>
        <v>0.37567311147540983</v>
      </c>
    </row>
    <row r="637" spans="1:11" x14ac:dyDescent="0.35">
      <c r="A637" s="1">
        <v>45520</v>
      </c>
      <c r="B637" s="3" t="s">
        <v>20</v>
      </c>
      <c r="C637" s="3" t="s">
        <v>22</v>
      </c>
      <c r="D637" s="3" t="s">
        <v>18</v>
      </c>
      <c r="E637" s="4">
        <v>9</v>
      </c>
      <c r="F637" s="4">
        <v>1681</v>
      </c>
      <c r="G637" s="3" t="s">
        <v>13</v>
      </c>
      <c r="H637">
        <v>15129</v>
      </c>
      <c r="I637">
        <v>12567.514349999999</v>
      </c>
      <c r="J637">
        <v>2561.485651</v>
      </c>
      <c r="K637" s="5">
        <f>IF(Table1[[#This Row],[Revenue]]=0, 0, Table1[[#This Row],[Profit]]/Table1[[#This Row],[Revenue]])</f>
        <v>0.16930964710159296</v>
      </c>
    </row>
    <row r="638" spans="1:11" x14ac:dyDescent="0.35">
      <c r="A638" s="1">
        <v>45455</v>
      </c>
      <c r="B638" s="3" t="s">
        <v>27</v>
      </c>
      <c r="C638" s="3" t="s">
        <v>24</v>
      </c>
      <c r="D638" s="3" t="s">
        <v>21</v>
      </c>
      <c r="E638" s="4">
        <v>15</v>
      </c>
      <c r="F638" s="4">
        <v>923</v>
      </c>
      <c r="G638" s="3" t="s">
        <v>19</v>
      </c>
      <c r="H638">
        <v>13845</v>
      </c>
      <c r="I638">
        <v>8893.9517419999993</v>
      </c>
      <c r="J638">
        <v>4951.0482579999998</v>
      </c>
      <c r="K638" s="5">
        <f>IF(Table1[[#This Row],[Revenue]]=0, 0, Table1[[#This Row],[Profit]]/Table1[[#This Row],[Revenue]])</f>
        <v>0.35760550798122065</v>
      </c>
    </row>
    <row r="639" spans="1:11" x14ac:dyDescent="0.35">
      <c r="A639" s="1">
        <v>45518</v>
      </c>
      <c r="B639" s="3" t="s">
        <v>27</v>
      </c>
      <c r="C639" s="3" t="s">
        <v>26</v>
      </c>
      <c r="D639" s="3" t="s">
        <v>21</v>
      </c>
      <c r="E639" s="4">
        <v>13</v>
      </c>
      <c r="F639" s="4">
        <v>1770</v>
      </c>
      <c r="G639" s="3" t="s">
        <v>19</v>
      </c>
      <c r="H639">
        <v>23010</v>
      </c>
      <c r="I639">
        <v>19913.47695</v>
      </c>
      <c r="J639">
        <v>3096.523048</v>
      </c>
      <c r="K639" s="5">
        <f>IF(Table1[[#This Row],[Revenue]]=0, 0, Table1[[#This Row],[Profit]]/Table1[[#This Row],[Revenue]])</f>
        <v>0.13457292690134723</v>
      </c>
    </row>
    <row r="640" spans="1:11" x14ac:dyDescent="0.35">
      <c r="A640" s="1">
        <v>45438</v>
      </c>
      <c r="B640" s="3" t="s">
        <v>23</v>
      </c>
      <c r="C640" s="3" t="s">
        <v>26</v>
      </c>
      <c r="D640" s="3" t="s">
        <v>12</v>
      </c>
      <c r="E640" s="4">
        <v>17</v>
      </c>
      <c r="F640" s="4">
        <v>1241</v>
      </c>
      <c r="G640" s="3" t="s">
        <v>19</v>
      </c>
      <c r="H640">
        <v>21097</v>
      </c>
      <c r="I640">
        <v>16014.027980000001</v>
      </c>
      <c r="J640">
        <v>5082.972025</v>
      </c>
      <c r="K640" s="5">
        <f>IF(Table1[[#This Row],[Revenue]]=0, 0, Table1[[#This Row],[Profit]]/Table1[[#This Row],[Revenue]])</f>
        <v>0.2409334040384889</v>
      </c>
    </row>
    <row r="641" spans="1:11" x14ac:dyDescent="0.35">
      <c r="A641" s="1">
        <v>45311</v>
      </c>
      <c r="B641" s="3" t="s">
        <v>10</v>
      </c>
      <c r="C641" s="3" t="s">
        <v>31</v>
      </c>
      <c r="D641" s="3" t="s">
        <v>15</v>
      </c>
      <c r="E641" s="4">
        <v>16</v>
      </c>
      <c r="F641" s="4">
        <v>800</v>
      </c>
      <c r="G641" s="3" t="s">
        <v>19</v>
      </c>
      <c r="H641">
        <v>12800</v>
      </c>
      <c r="I641">
        <v>11322.135630000001</v>
      </c>
      <c r="J641">
        <v>1477.8643729999999</v>
      </c>
      <c r="K641" s="5">
        <f>IF(Table1[[#This Row],[Revenue]]=0, 0, Table1[[#This Row],[Profit]]/Table1[[#This Row],[Revenue]])</f>
        <v>0.11545815414062499</v>
      </c>
    </row>
    <row r="642" spans="1:11" x14ac:dyDescent="0.35">
      <c r="A642" s="1">
        <v>45338</v>
      </c>
      <c r="B642" s="3" t="s">
        <v>10</v>
      </c>
      <c r="C642" s="3" t="s">
        <v>17</v>
      </c>
      <c r="D642" s="3" t="s">
        <v>21</v>
      </c>
      <c r="E642" s="4">
        <v>2</v>
      </c>
      <c r="F642" s="4">
        <v>1766</v>
      </c>
      <c r="G642" s="3" t="s">
        <v>19</v>
      </c>
      <c r="H642">
        <v>3532</v>
      </c>
      <c r="I642">
        <v>2426.8664229999999</v>
      </c>
      <c r="J642">
        <v>1105.1335770000001</v>
      </c>
      <c r="K642" s="5">
        <f>IF(Table1[[#This Row],[Revenue]]=0, 0, Table1[[#This Row],[Profit]]/Table1[[#This Row],[Revenue]])</f>
        <v>0.31289172621744055</v>
      </c>
    </row>
    <row r="643" spans="1:11" x14ac:dyDescent="0.35">
      <c r="A643" s="1">
        <v>45524</v>
      </c>
      <c r="B643" s="3" t="s">
        <v>27</v>
      </c>
      <c r="C643" s="3" t="s">
        <v>22</v>
      </c>
      <c r="D643" s="3" t="s">
        <v>18</v>
      </c>
      <c r="E643" s="4">
        <v>14</v>
      </c>
      <c r="F643" s="4">
        <v>1118</v>
      </c>
      <c r="G643" s="3" t="s">
        <v>13</v>
      </c>
      <c r="H643">
        <v>15652</v>
      </c>
      <c r="I643">
        <v>11524.486919999999</v>
      </c>
      <c r="J643">
        <v>4127.5130769999996</v>
      </c>
      <c r="K643" s="5">
        <f>IF(Table1[[#This Row],[Revenue]]=0, 0, Table1[[#This Row],[Profit]]/Table1[[#This Row],[Revenue]])</f>
        <v>0.26370515442116021</v>
      </c>
    </row>
    <row r="644" spans="1:11" x14ac:dyDescent="0.35">
      <c r="A644" s="1">
        <v>45596</v>
      </c>
      <c r="B644" s="3" t="s">
        <v>10</v>
      </c>
      <c r="C644" s="3" t="s">
        <v>28</v>
      </c>
      <c r="D644" s="3" t="s">
        <v>21</v>
      </c>
      <c r="E644" s="4">
        <v>3</v>
      </c>
      <c r="F644" s="4">
        <v>1335</v>
      </c>
      <c r="G644" s="3" t="s">
        <v>16</v>
      </c>
      <c r="H644">
        <v>4005</v>
      </c>
      <c r="I644">
        <v>3237.137725</v>
      </c>
      <c r="J644">
        <v>767.86227480000002</v>
      </c>
      <c r="K644" s="5">
        <f>IF(Table1[[#This Row],[Revenue]]=0, 0, Table1[[#This Row],[Profit]]/Table1[[#This Row],[Revenue]])</f>
        <v>0.19172591131086142</v>
      </c>
    </row>
    <row r="645" spans="1:11" x14ac:dyDescent="0.35">
      <c r="A645" s="1">
        <v>45305</v>
      </c>
      <c r="B645" s="3" t="s">
        <v>27</v>
      </c>
      <c r="C645" s="3" t="s">
        <v>17</v>
      </c>
      <c r="D645" s="3" t="s">
        <v>12</v>
      </c>
      <c r="E645" s="4">
        <v>12</v>
      </c>
      <c r="F645" s="4">
        <v>1541</v>
      </c>
      <c r="G645" s="3" t="s">
        <v>19</v>
      </c>
      <c r="H645">
        <v>18492</v>
      </c>
      <c r="I645">
        <v>15710.32229</v>
      </c>
      <c r="J645">
        <v>2781.6777069999998</v>
      </c>
      <c r="K645" s="5">
        <f>IF(Table1[[#This Row],[Revenue]]=0, 0, Table1[[#This Row],[Profit]]/Table1[[#This Row],[Revenue]])</f>
        <v>0.15042600621890545</v>
      </c>
    </row>
    <row r="646" spans="1:11" x14ac:dyDescent="0.35">
      <c r="A646" s="1">
        <v>45434</v>
      </c>
      <c r="B646" s="3" t="s">
        <v>23</v>
      </c>
      <c r="C646" s="3" t="s">
        <v>26</v>
      </c>
      <c r="D646" s="3" t="s">
        <v>29</v>
      </c>
      <c r="E646" s="4">
        <v>8</v>
      </c>
      <c r="F646" s="4">
        <v>1236</v>
      </c>
      <c r="G646" s="3" t="s">
        <v>19</v>
      </c>
      <c r="H646">
        <v>9888</v>
      </c>
      <c r="I646">
        <v>7182.7136650000002</v>
      </c>
      <c r="J646">
        <v>2705.2863349999998</v>
      </c>
      <c r="K646" s="5">
        <f>IF(Table1[[#This Row],[Revenue]]=0, 0, Table1[[#This Row],[Profit]]/Table1[[#This Row],[Revenue]])</f>
        <v>0.27359287368527507</v>
      </c>
    </row>
    <row r="647" spans="1:11" x14ac:dyDescent="0.35">
      <c r="A647" s="1">
        <v>45292</v>
      </c>
      <c r="B647" s="3" t="s">
        <v>27</v>
      </c>
      <c r="C647" s="3" t="s">
        <v>17</v>
      </c>
      <c r="D647" s="3" t="s">
        <v>25</v>
      </c>
      <c r="E647" s="4">
        <v>2</v>
      </c>
      <c r="F647" s="4">
        <v>1167</v>
      </c>
      <c r="G647" s="3" t="s">
        <v>19</v>
      </c>
      <c r="H647">
        <v>2334</v>
      </c>
      <c r="I647">
        <v>2025.2812630000001</v>
      </c>
      <c r="J647">
        <v>308.71873670000002</v>
      </c>
      <c r="K647" s="5">
        <f>IF(Table1[[#This Row],[Revenue]]=0, 0, Table1[[#This Row],[Profit]]/Table1[[#This Row],[Revenue]])</f>
        <v>0.13227023851756642</v>
      </c>
    </row>
    <row r="648" spans="1:11" x14ac:dyDescent="0.35">
      <c r="A648" s="1">
        <v>45550</v>
      </c>
      <c r="B648" s="3" t="s">
        <v>23</v>
      </c>
      <c r="C648" s="3" t="s">
        <v>17</v>
      </c>
      <c r="D648" s="3" t="s">
        <v>30</v>
      </c>
      <c r="E648" s="4">
        <v>14</v>
      </c>
      <c r="F648" s="4">
        <v>975</v>
      </c>
      <c r="G648" s="3" t="s">
        <v>19</v>
      </c>
      <c r="H648">
        <v>13650</v>
      </c>
      <c r="I648">
        <v>11092.063920000001</v>
      </c>
      <c r="J648">
        <v>2557.936076</v>
      </c>
      <c r="K648" s="5">
        <f>IF(Table1[[#This Row],[Revenue]]=0, 0, Table1[[#This Row],[Profit]]/Table1[[#This Row],[Revenue]])</f>
        <v>0.18739458432234432</v>
      </c>
    </row>
    <row r="649" spans="1:11" x14ac:dyDescent="0.35">
      <c r="A649" s="1">
        <v>45303</v>
      </c>
      <c r="B649" s="3" t="s">
        <v>27</v>
      </c>
      <c r="C649" s="3" t="s">
        <v>11</v>
      </c>
      <c r="D649" s="3" t="s">
        <v>15</v>
      </c>
      <c r="E649" s="4">
        <v>19</v>
      </c>
      <c r="F649" s="4">
        <v>1908</v>
      </c>
      <c r="G649" s="3" t="s">
        <v>13</v>
      </c>
      <c r="H649">
        <v>36252</v>
      </c>
      <c r="I649">
        <v>22853.284189999998</v>
      </c>
      <c r="J649">
        <v>13398.71581</v>
      </c>
      <c r="K649" s="5">
        <f>IF(Table1[[#This Row],[Revenue]]=0, 0, Table1[[#This Row],[Profit]]/Table1[[#This Row],[Revenue]])</f>
        <v>0.36959935479421824</v>
      </c>
    </row>
    <row r="650" spans="1:11" x14ac:dyDescent="0.35">
      <c r="A650" s="1">
        <v>45621</v>
      </c>
      <c r="B650" s="3" t="s">
        <v>27</v>
      </c>
      <c r="C650" s="3" t="s">
        <v>31</v>
      </c>
      <c r="D650" s="3" t="s">
        <v>44</v>
      </c>
      <c r="E650" s="4">
        <v>2</v>
      </c>
      <c r="F650" s="4">
        <v>926</v>
      </c>
      <c r="G650" s="3" t="s">
        <v>19</v>
      </c>
      <c r="H650">
        <v>1852</v>
      </c>
      <c r="I650">
        <v>1326.0308279999999</v>
      </c>
      <c r="J650">
        <v>525.9691722</v>
      </c>
      <c r="K650" s="5">
        <f>IF(Table1[[#This Row],[Revenue]]=0, 0, Table1[[#This Row],[Profit]]/Table1[[#This Row],[Revenue]])</f>
        <v>0.28400063293736499</v>
      </c>
    </row>
    <row r="651" spans="1:11" x14ac:dyDescent="0.35">
      <c r="A651" s="1">
        <v>45515</v>
      </c>
      <c r="B651" s="3" t="s">
        <v>23</v>
      </c>
      <c r="C651" s="3" t="s">
        <v>31</v>
      </c>
      <c r="D651" s="3" t="s">
        <v>18</v>
      </c>
      <c r="E651" s="4">
        <v>12</v>
      </c>
      <c r="F651" s="4">
        <v>1517</v>
      </c>
      <c r="G651" s="3" t="s">
        <v>19</v>
      </c>
      <c r="H651">
        <v>18204</v>
      </c>
      <c r="I651">
        <v>15729.433569999999</v>
      </c>
      <c r="J651">
        <v>2474.5664320000001</v>
      </c>
      <c r="K651" s="5">
        <f>IF(Table1[[#This Row],[Revenue]]=0, 0, Table1[[#This Row],[Profit]]/Table1[[#This Row],[Revenue]])</f>
        <v>0.13593531267853221</v>
      </c>
    </row>
    <row r="652" spans="1:11" x14ac:dyDescent="0.35">
      <c r="A652" s="1">
        <v>45563</v>
      </c>
      <c r="B652" s="3" t="s">
        <v>10</v>
      </c>
      <c r="C652" s="3" t="s">
        <v>11</v>
      </c>
      <c r="D652" s="3" t="s">
        <v>25</v>
      </c>
      <c r="E652" s="4">
        <v>14</v>
      </c>
      <c r="F652" s="4">
        <v>1990</v>
      </c>
      <c r="G652" s="3" t="s">
        <v>13</v>
      </c>
      <c r="H652">
        <v>27860</v>
      </c>
      <c r="I652">
        <v>24911.302100000001</v>
      </c>
      <c r="J652">
        <v>2948.6979040000001</v>
      </c>
      <c r="K652" s="5">
        <f>IF(Table1[[#This Row],[Revenue]]=0, 0, Table1[[#This Row],[Profit]]/Table1[[#This Row],[Revenue]])</f>
        <v>0.10583983862167984</v>
      </c>
    </row>
    <row r="653" spans="1:11" x14ac:dyDescent="0.35">
      <c r="A653" s="1">
        <v>45649</v>
      </c>
      <c r="B653" s="3" t="s">
        <v>27</v>
      </c>
      <c r="C653" s="3" t="s">
        <v>11</v>
      </c>
      <c r="D653" s="3" t="s">
        <v>18</v>
      </c>
      <c r="E653" s="4">
        <v>6</v>
      </c>
      <c r="F653" s="4">
        <v>951</v>
      </c>
      <c r="G653" s="3" t="s">
        <v>13</v>
      </c>
      <c r="H653">
        <v>5706</v>
      </c>
      <c r="I653">
        <v>4095.9947950000001</v>
      </c>
      <c r="J653">
        <v>1610.0052049999999</v>
      </c>
      <c r="K653" s="5">
        <f>IF(Table1[[#This Row],[Revenue]]=0, 0, Table1[[#This Row],[Profit]]/Table1[[#This Row],[Revenue]])</f>
        <v>0.28216004293725899</v>
      </c>
    </row>
    <row r="654" spans="1:11" x14ac:dyDescent="0.35">
      <c r="A654" s="1">
        <v>45447</v>
      </c>
      <c r="B654" s="3" t="s">
        <v>23</v>
      </c>
      <c r="C654" s="3" t="s">
        <v>14</v>
      </c>
      <c r="D654" s="3" t="s">
        <v>25</v>
      </c>
      <c r="E654" s="4">
        <v>13</v>
      </c>
      <c r="F654" s="4">
        <v>611</v>
      </c>
      <c r="G654" s="3" t="s">
        <v>16</v>
      </c>
      <c r="H654">
        <v>7943</v>
      </c>
      <c r="I654">
        <v>6878.0416109999996</v>
      </c>
      <c r="J654">
        <v>1064.9583889999999</v>
      </c>
      <c r="K654" s="5">
        <f>IF(Table1[[#This Row],[Revenue]]=0, 0, Table1[[#This Row],[Profit]]/Table1[[#This Row],[Revenue]])</f>
        <v>0.13407508359561876</v>
      </c>
    </row>
    <row r="655" spans="1:11" x14ac:dyDescent="0.35">
      <c r="A655" s="1">
        <v>45299</v>
      </c>
      <c r="B655" s="3" t="s">
        <v>27</v>
      </c>
      <c r="C655" s="3" t="s">
        <v>14</v>
      </c>
      <c r="D655" s="3" t="s">
        <v>25</v>
      </c>
      <c r="E655" s="4">
        <v>4</v>
      </c>
      <c r="F655" s="4">
        <v>144</v>
      </c>
      <c r="G655" s="3" t="s">
        <v>16</v>
      </c>
      <c r="H655">
        <v>576</v>
      </c>
      <c r="I655">
        <v>433.6682831</v>
      </c>
      <c r="J655">
        <v>142.3317169</v>
      </c>
      <c r="K655" s="5">
        <f>IF(Table1[[#This Row],[Revenue]]=0, 0, Table1[[#This Row],[Profit]]/Table1[[#This Row],[Revenue]])</f>
        <v>0.24710367517361112</v>
      </c>
    </row>
    <row r="656" spans="1:11" x14ac:dyDescent="0.35">
      <c r="A656" s="1">
        <v>45413</v>
      </c>
      <c r="B656" s="3" t="s">
        <v>20</v>
      </c>
      <c r="C656" s="3" t="s">
        <v>22</v>
      </c>
      <c r="D656" s="3" t="s">
        <v>18</v>
      </c>
      <c r="E656" s="4">
        <v>18</v>
      </c>
      <c r="F656" s="4">
        <v>1231</v>
      </c>
      <c r="G656" s="3" t="s">
        <v>13</v>
      </c>
      <c r="H656">
        <v>22158</v>
      </c>
      <c r="I656">
        <v>18061.085760000002</v>
      </c>
      <c r="J656">
        <v>4096.9142389999997</v>
      </c>
      <c r="K656" s="5">
        <f>IF(Table1[[#This Row],[Revenue]]=0, 0, Table1[[#This Row],[Profit]]/Table1[[#This Row],[Revenue]])</f>
        <v>0.18489548871739325</v>
      </c>
    </row>
    <row r="657" spans="1:11" x14ac:dyDescent="0.35">
      <c r="A657" s="1">
        <v>45639</v>
      </c>
      <c r="B657" s="3" t="s">
        <v>23</v>
      </c>
      <c r="C657" s="3" t="s">
        <v>28</v>
      </c>
      <c r="D657" s="3" t="s">
        <v>30</v>
      </c>
      <c r="E657" s="4">
        <v>12</v>
      </c>
      <c r="F657" s="4">
        <v>318</v>
      </c>
      <c r="G657" s="3" t="s">
        <v>16</v>
      </c>
      <c r="H657">
        <v>3816</v>
      </c>
      <c r="I657">
        <v>2341.5412040000001</v>
      </c>
      <c r="J657">
        <v>1474.4587959999999</v>
      </c>
      <c r="K657" s="5">
        <f>IF(Table1[[#This Row],[Revenue]]=0, 0, Table1[[#This Row],[Profit]]/Table1[[#This Row],[Revenue]])</f>
        <v>0.386388573375262</v>
      </c>
    </row>
    <row r="658" spans="1:11" x14ac:dyDescent="0.35">
      <c r="A658" s="1">
        <v>45455</v>
      </c>
      <c r="B658" s="3" t="s">
        <v>10</v>
      </c>
      <c r="C658" s="3" t="s">
        <v>28</v>
      </c>
      <c r="D658" s="3" t="s">
        <v>30</v>
      </c>
      <c r="E658" s="4">
        <v>19</v>
      </c>
      <c r="F658" s="4">
        <v>542</v>
      </c>
      <c r="G658" s="3" t="s">
        <v>16</v>
      </c>
      <c r="H658">
        <v>10298</v>
      </c>
      <c r="I658">
        <v>7900.5596059999998</v>
      </c>
      <c r="J658">
        <v>2397.4403940000002</v>
      </c>
      <c r="K658" s="5">
        <f>IF(Table1[[#This Row],[Revenue]]=0, 0, Table1[[#This Row],[Profit]]/Table1[[#This Row],[Revenue]])</f>
        <v>0.23280640842882114</v>
      </c>
    </row>
    <row r="659" spans="1:11" x14ac:dyDescent="0.35">
      <c r="A659" s="1">
        <v>45381</v>
      </c>
      <c r="B659" s="3" t="s">
        <v>10</v>
      </c>
      <c r="C659" s="3" t="s">
        <v>22</v>
      </c>
      <c r="D659" s="3" t="s">
        <v>25</v>
      </c>
      <c r="E659" s="4">
        <v>8</v>
      </c>
      <c r="F659" s="4">
        <v>1953</v>
      </c>
      <c r="G659" s="3" t="s">
        <v>13</v>
      </c>
      <c r="H659">
        <v>15624</v>
      </c>
      <c r="I659">
        <v>9703.2630270000009</v>
      </c>
      <c r="J659">
        <v>5920.736973</v>
      </c>
      <c r="K659" s="5">
        <f>IF(Table1[[#This Row],[Revenue]]=0, 0, Table1[[#This Row],[Profit]]/Table1[[#This Row],[Revenue]])</f>
        <v>0.37895141916282643</v>
      </c>
    </row>
    <row r="660" spans="1:11" x14ac:dyDescent="0.35">
      <c r="A660" s="1">
        <v>45427</v>
      </c>
      <c r="B660" s="3" t="s">
        <v>10</v>
      </c>
      <c r="C660" s="3" t="s">
        <v>31</v>
      </c>
      <c r="D660" s="3" t="s">
        <v>30</v>
      </c>
      <c r="E660" s="4">
        <v>7</v>
      </c>
      <c r="F660" s="4">
        <v>414</v>
      </c>
      <c r="G660" s="3" t="s">
        <v>19</v>
      </c>
      <c r="H660">
        <v>2898</v>
      </c>
      <c r="I660">
        <v>1972.336452</v>
      </c>
      <c r="J660">
        <v>925.66354809999996</v>
      </c>
      <c r="K660" s="5">
        <f>IF(Table1[[#This Row],[Revenue]]=0, 0, Table1[[#This Row],[Profit]]/Table1[[#This Row],[Revenue]])</f>
        <v>0.31941461287094547</v>
      </c>
    </row>
    <row r="661" spans="1:11" x14ac:dyDescent="0.35">
      <c r="A661" s="1">
        <v>45477</v>
      </c>
      <c r="B661" s="3" t="s">
        <v>10</v>
      </c>
      <c r="C661" s="3" t="s">
        <v>31</v>
      </c>
      <c r="D661" s="3" t="s">
        <v>25</v>
      </c>
      <c r="E661" s="4">
        <v>16</v>
      </c>
      <c r="F661" s="4">
        <v>276</v>
      </c>
      <c r="G661" s="3" t="s">
        <v>19</v>
      </c>
      <c r="H661">
        <v>4416</v>
      </c>
      <c r="I661">
        <v>3400.5156189999998</v>
      </c>
      <c r="J661">
        <v>1015.484381</v>
      </c>
      <c r="K661" s="5">
        <f>IF(Table1[[#This Row],[Revenue]]=0, 0, Table1[[#This Row],[Profit]]/Table1[[#This Row],[Revenue]])</f>
        <v>0.22995570221920289</v>
      </c>
    </row>
    <row r="662" spans="1:11" x14ac:dyDescent="0.35">
      <c r="A662" s="1">
        <v>45607</v>
      </c>
      <c r="B662" s="3" t="s">
        <v>27</v>
      </c>
      <c r="C662" s="3" t="s">
        <v>26</v>
      </c>
      <c r="D662" s="3" t="s">
        <v>12</v>
      </c>
      <c r="E662" s="4">
        <v>19</v>
      </c>
      <c r="F662" s="4">
        <v>327</v>
      </c>
      <c r="G662" s="3" t="s">
        <v>19</v>
      </c>
      <c r="H662">
        <v>6213</v>
      </c>
      <c r="I662">
        <v>5232.2725440000004</v>
      </c>
      <c r="J662">
        <v>980.72745580000003</v>
      </c>
      <c r="K662" s="5">
        <f>IF(Table1[[#This Row],[Revenue]]=0, 0, Table1[[#This Row],[Profit]]/Table1[[#This Row],[Revenue]])</f>
        <v>0.15785087007886689</v>
      </c>
    </row>
    <row r="663" spans="1:11" x14ac:dyDescent="0.35">
      <c r="A663" s="1">
        <v>45469</v>
      </c>
      <c r="B663" s="3" t="s">
        <v>27</v>
      </c>
      <c r="C663" s="3" t="s">
        <v>26</v>
      </c>
      <c r="D663" s="3" t="s">
        <v>25</v>
      </c>
      <c r="E663" s="4">
        <v>6</v>
      </c>
      <c r="F663" s="4">
        <v>1826</v>
      </c>
      <c r="G663" s="3" t="s">
        <v>19</v>
      </c>
      <c r="H663">
        <v>10956</v>
      </c>
      <c r="I663">
        <v>8417.1452279999994</v>
      </c>
      <c r="J663">
        <v>2538.8547720000001</v>
      </c>
      <c r="K663" s="5">
        <f>IF(Table1[[#This Row],[Revenue]]=0, 0, Table1[[#This Row],[Profit]]/Table1[[#This Row],[Revenue]])</f>
        <v>0.2317319069003286</v>
      </c>
    </row>
    <row r="664" spans="1:11" x14ac:dyDescent="0.35">
      <c r="A664" s="1">
        <v>45319</v>
      </c>
      <c r="B664" s="3" t="s">
        <v>10</v>
      </c>
      <c r="C664" s="3" t="s">
        <v>28</v>
      </c>
      <c r="D664" s="3" t="s">
        <v>12</v>
      </c>
      <c r="E664" s="4">
        <v>-5</v>
      </c>
      <c r="F664" s="4">
        <v>1795</v>
      </c>
      <c r="G664" s="3" t="s">
        <v>16</v>
      </c>
      <c r="H664">
        <v>-8975</v>
      </c>
      <c r="I664">
        <v>-7905.6957240000002</v>
      </c>
      <c r="J664">
        <v>-1069.3042760000001</v>
      </c>
      <c r="K664" s="5">
        <f>IF(Table1[[#This Row],[Revenue]]=0, 0, Table1[[#This Row],[Profit]]/Table1[[#This Row],[Revenue]])</f>
        <v>0.11914253771587745</v>
      </c>
    </row>
    <row r="665" spans="1:11" x14ac:dyDescent="0.35">
      <c r="A665" s="1">
        <v>45511</v>
      </c>
      <c r="B665" s="3" t="s">
        <v>10</v>
      </c>
      <c r="C665" s="3" t="s">
        <v>22</v>
      </c>
      <c r="D665" s="3" t="s">
        <v>44</v>
      </c>
      <c r="E665" s="4">
        <v>5</v>
      </c>
      <c r="F665" s="4">
        <v>366</v>
      </c>
      <c r="G665" s="3" t="s">
        <v>13</v>
      </c>
      <c r="H665">
        <v>1830</v>
      </c>
      <c r="I665">
        <v>1542.8725469999999</v>
      </c>
      <c r="J665">
        <v>287.12745330000001</v>
      </c>
      <c r="K665" s="5">
        <f>IF(Table1[[#This Row],[Revenue]]=0, 0, Table1[[#This Row],[Profit]]/Table1[[#This Row],[Revenue]])</f>
        <v>0.15690024770491803</v>
      </c>
    </row>
    <row r="666" spans="1:11" x14ac:dyDescent="0.35">
      <c r="A666" s="1">
        <v>45648</v>
      </c>
      <c r="B666" s="3" t="s">
        <v>10</v>
      </c>
      <c r="C666" s="3" t="s">
        <v>24</v>
      </c>
      <c r="D666" s="3" t="s">
        <v>32</v>
      </c>
      <c r="E666" s="4">
        <v>16</v>
      </c>
      <c r="F666" s="4">
        <v>969</v>
      </c>
      <c r="G666" s="3" t="s">
        <v>19</v>
      </c>
      <c r="H666">
        <v>15504</v>
      </c>
      <c r="I666">
        <v>10029.104170000001</v>
      </c>
      <c r="J666">
        <v>5474.8958320000002</v>
      </c>
      <c r="K666" s="5">
        <f>IF(Table1[[#This Row],[Revenue]]=0, 0, Table1[[#This Row],[Profit]]/Table1[[#This Row],[Revenue]])</f>
        <v>0.35312795614035086</v>
      </c>
    </row>
    <row r="667" spans="1:11" x14ac:dyDescent="0.35">
      <c r="A667" s="1">
        <v>45519</v>
      </c>
      <c r="B667" s="3" t="s">
        <v>10</v>
      </c>
      <c r="C667" s="3" t="s">
        <v>24</v>
      </c>
      <c r="D667" s="3" t="s">
        <v>18</v>
      </c>
      <c r="E667" s="4">
        <v>5</v>
      </c>
      <c r="F667" s="4">
        <v>1502</v>
      </c>
      <c r="G667" s="3" t="s">
        <v>19</v>
      </c>
      <c r="H667">
        <v>7510</v>
      </c>
      <c r="I667">
        <v>6012.0976680000003</v>
      </c>
      <c r="J667">
        <v>1497.9023319999999</v>
      </c>
      <c r="K667" s="5">
        <f>IF(Table1[[#This Row],[Revenue]]=0, 0, Table1[[#This Row],[Profit]]/Table1[[#This Row],[Revenue]])</f>
        <v>0.19945437177097203</v>
      </c>
    </row>
    <row r="668" spans="1:11" x14ac:dyDescent="0.35">
      <c r="A668" s="1">
        <v>45483</v>
      </c>
      <c r="B668" s="3" t="s">
        <v>10</v>
      </c>
      <c r="C668" s="3" t="s">
        <v>22</v>
      </c>
      <c r="D668" s="3" t="s">
        <v>32</v>
      </c>
      <c r="E668" s="4">
        <v>11</v>
      </c>
      <c r="F668" s="4">
        <v>588</v>
      </c>
      <c r="G668" s="3" t="s">
        <v>13</v>
      </c>
      <c r="H668">
        <v>6468</v>
      </c>
      <c r="I668">
        <v>5701.6830639999998</v>
      </c>
      <c r="J668">
        <v>766.31693629999995</v>
      </c>
      <c r="K668" s="5">
        <f>IF(Table1[[#This Row],[Revenue]]=0, 0, Table1[[#This Row],[Profit]]/Table1[[#This Row],[Revenue]])</f>
        <v>0.11847819052257266</v>
      </c>
    </row>
    <row r="669" spans="1:11" x14ac:dyDescent="0.35">
      <c r="A669" s="1">
        <v>45436</v>
      </c>
      <c r="B669" s="3" t="s">
        <v>20</v>
      </c>
      <c r="C669" s="3" t="s">
        <v>26</v>
      </c>
      <c r="D669" s="3" t="s">
        <v>21</v>
      </c>
      <c r="E669" s="4">
        <v>15</v>
      </c>
      <c r="F669" s="4">
        <v>801</v>
      </c>
      <c r="G669" s="3" t="s">
        <v>19</v>
      </c>
      <c r="H669">
        <v>12015</v>
      </c>
      <c r="I669">
        <v>10769.22185</v>
      </c>
      <c r="J669">
        <v>1245.778151</v>
      </c>
      <c r="K669" s="5">
        <f>IF(Table1[[#This Row],[Revenue]]=0, 0, Table1[[#This Row],[Profit]]/Table1[[#This Row],[Revenue]])</f>
        <v>0.10368523936745734</v>
      </c>
    </row>
    <row r="670" spans="1:11" x14ac:dyDescent="0.35">
      <c r="A670" s="1">
        <v>45492</v>
      </c>
      <c r="B670" s="3" t="s">
        <v>20</v>
      </c>
      <c r="C670" s="3" t="s">
        <v>28</v>
      </c>
      <c r="D670" s="3" t="s">
        <v>18</v>
      </c>
      <c r="E670" s="4">
        <v>3</v>
      </c>
      <c r="F670" s="4">
        <v>786</v>
      </c>
      <c r="G670" s="3" t="s">
        <v>16</v>
      </c>
      <c r="H670">
        <v>2358</v>
      </c>
      <c r="I670">
        <v>1954.6780859999999</v>
      </c>
      <c r="J670">
        <v>403.3219138</v>
      </c>
      <c r="K670" s="5">
        <f>IF(Table1[[#This Row],[Revenue]]=0, 0, Table1[[#This Row],[Profit]]/Table1[[#This Row],[Revenue]])</f>
        <v>0.17104406861747243</v>
      </c>
    </row>
    <row r="671" spans="1:11" x14ac:dyDescent="0.35">
      <c r="A671" s="1">
        <v>45503</v>
      </c>
      <c r="B671" s="3" t="s">
        <v>10</v>
      </c>
      <c r="C671" s="3" t="s">
        <v>28</v>
      </c>
      <c r="D671" s="3" t="s">
        <v>44</v>
      </c>
      <c r="E671" s="4">
        <v>5</v>
      </c>
      <c r="F671" s="4">
        <v>1413</v>
      </c>
      <c r="G671" s="3" t="s">
        <v>16</v>
      </c>
      <c r="H671">
        <v>7065</v>
      </c>
      <c r="I671">
        <v>5455.1040430000003</v>
      </c>
      <c r="J671">
        <v>1609.895957</v>
      </c>
      <c r="K671" s="5">
        <f>IF(Table1[[#This Row],[Revenue]]=0, 0, Table1[[#This Row],[Profit]]/Table1[[#This Row],[Revenue]])</f>
        <v>0.22786920835102617</v>
      </c>
    </row>
    <row r="672" spans="1:11" x14ac:dyDescent="0.35">
      <c r="A672" s="1">
        <v>45511</v>
      </c>
      <c r="B672" s="3" t="s">
        <v>23</v>
      </c>
      <c r="C672" s="3" t="s">
        <v>26</v>
      </c>
      <c r="D672" s="3" t="s">
        <v>29</v>
      </c>
      <c r="E672" s="4">
        <v>5</v>
      </c>
      <c r="F672" s="4">
        <v>1095</v>
      </c>
      <c r="G672" s="3" t="s">
        <v>19</v>
      </c>
      <c r="H672">
        <v>5475</v>
      </c>
      <c r="I672">
        <v>4527.7314150000002</v>
      </c>
      <c r="J672">
        <v>947.26858460000005</v>
      </c>
      <c r="K672" s="5">
        <f>IF(Table1[[#This Row],[Revenue]]=0, 0, Table1[[#This Row],[Profit]]/Table1[[#This Row],[Revenue]])</f>
        <v>0.17301709307762558</v>
      </c>
    </row>
    <row r="673" spans="1:11" x14ac:dyDescent="0.35">
      <c r="A673" s="1">
        <v>45531</v>
      </c>
      <c r="B673" s="3" t="s">
        <v>10</v>
      </c>
      <c r="C673" s="3" t="s">
        <v>24</v>
      </c>
      <c r="D673" s="3" t="s">
        <v>30</v>
      </c>
      <c r="E673" s="4">
        <v>9</v>
      </c>
      <c r="F673" s="4">
        <v>456</v>
      </c>
      <c r="G673" s="3" t="s">
        <v>19</v>
      </c>
      <c r="H673">
        <v>4104</v>
      </c>
      <c r="I673">
        <v>2798.8086800000001</v>
      </c>
      <c r="J673">
        <v>1305.1913199999999</v>
      </c>
      <c r="K673" s="5">
        <f>IF(Table1[[#This Row],[Revenue]]=0, 0, Table1[[#This Row],[Profit]]/Table1[[#This Row],[Revenue]])</f>
        <v>0.31802907407407405</v>
      </c>
    </row>
    <row r="674" spans="1:11" x14ac:dyDescent="0.35">
      <c r="A674" s="1">
        <v>45337</v>
      </c>
      <c r="B674" s="3" t="s">
        <v>20</v>
      </c>
      <c r="C674" s="3" t="s">
        <v>17</v>
      </c>
      <c r="D674" s="3" t="s">
        <v>29</v>
      </c>
      <c r="E674" s="4">
        <v>15</v>
      </c>
      <c r="F674" s="4">
        <v>1780</v>
      </c>
      <c r="G674" s="3" t="s">
        <v>19</v>
      </c>
      <c r="H674">
        <v>26700</v>
      </c>
      <c r="I674">
        <v>18291.660250000001</v>
      </c>
      <c r="J674">
        <v>8408.3397519999999</v>
      </c>
      <c r="K674" s="5">
        <f>IF(Table1[[#This Row],[Revenue]]=0, 0, Table1[[#This Row],[Profit]]/Table1[[#This Row],[Revenue]])</f>
        <v>0.314919091835206</v>
      </c>
    </row>
    <row r="675" spans="1:11" x14ac:dyDescent="0.35">
      <c r="A675" s="1">
        <v>45326</v>
      </c>
      <c r="B675" s="3" t="s">
        <v>23</v>
      </c>
      <c r="C675" s="3" t="s">
        <v>17</v>
      </c>
      <c r="D675" s="3" t="s">
        <v>30</v>
      </c>
      <c r="E675" s="4">
        <v>3</v>
      </c>
      <c r="F675" s="4">
        <v>1867</v>
      </c>
      <c r="G675" s="3" t="s">
        <v>19</v>
      </c>
      <c r="H675">
        <v>5601</v>
      </c>
      <c r="I675">
        <v>4460.1032059999998</v>
      </c>
      <c r="J675">
        <v>1140.896794</v>
      </c>
      <c r="K675" s="5">
        <f>IF(Table1[[#This Row],[Revenue]]=0, 0, Table1[[#This Row],[Profit]]/Table1[[#This Row],[Revenue]])</f>
        <v>0.20369519621496163</v>
      </c>
    </row>
    <row r="676" spans="1:11" x14ac:dyDescent="0.35">
      <c r="A676" s="1">
        <v>45544</v>
      </c>
      <c r="B676" s="3" t="s">
        <v>23</v>
      </c>
      <c r="C676" s="3" t="s">
        <v>26</v>
      </c>
      <c r="D676" s="3" t="s">
        <v>32</v>
      </c>
      <c r="E676" s="4">
        <v>6</v>
      </c>
      <c r="F676" s="4">
        <v>971</v>
      </c>
      <c r="G676" s="3" t="s">
        <v>19</v>
      </c>
      <c r="H676">
        <v>5826</v>
      </c>
      <c r="I676">
        <v>5019.3942200000001</v>
      </c>
      <c r="J676">
        <v>806.60577960000001</v>
      </c>
      <c r="K676" s="5">
        <f>IF(Table1[[#This Row],[Revenue]]=0, 0, Table1[[#This Row],[Profit]]/Table1[[#This Row],[Revenue]])</f>
        <v>0.13844932708547888</v>
      </c>
    </row>
    <row r="677" spans="1:11" x14ac:dyDescent="0.35">
      <c r="A677" s="1">
        <v>45373</v>
      </c>
      <c r="B677" s="3" t="s">
        <v>10</v>
      </c>
      <c r="C677" s="3" t="s">
        <v>17</v>
      </c>
      <c r="D677" s="3" t="s">
        <v>15</v>
      </c>
      <c r="E677" s="4">
        <v>17</v>
      </c>
      <c r="F677" s="4">
        <v>303</v>
      </c>
      <c r="G677" s="3" t="s">
        <v>19</v>
      </c>
      <c r="H677">
        <v>5151</v>
      </c>
      <c r="I677">
        <v>4589.2466039999999</v>
      </c>
      <c r="J677">
        <v>561.75339640000004</v>
      </c>
      <c r="K677" s="5">
        <f>IF(Table1[[#This Row],[Revenue]]=0, 0, Table1[[#This Row],[Profit]]/Table1[[#This Row],[Revenue]])</f>
        <v>0.10905715325179578</v>
      </c>
    </row>
    <row r="678" spans="1:11" x14ac:dyDescent="0.35">
      <c r="A678" s="1">
        <v>45547</v>
      </c>
      <c r="B678" s="3" t="s">
        <v>20</v>
      </c>
      <c r="C678" s="3" t="s">
        <v>11</v>
      </c>
      <c r="D678" s="3" t="s">
        <v>32</v>
      </c>
      <c r="E678" s="4">
        <v>8</v>
      </c>
      <c r="F678" s="4">
        <v>1336</v>
      </c>
      <c r="G678" s="3" t="s">
        <v>13</v>
      </c>
      <c r="H678">
        <v>10688</v>
      </c>
      <c r="I678">
        <v>7507.2552640000004</v>
      </c>
      <c r="J678">
        <v>3180.7447360000001</v>
      </c>
      <c r="K678" s="5">
        <f>IF(Table1[[#This Row],[Revenue]]=0, 0, Table1[[#This Row],[Profit]]/Table1[[#This Row],[Revenue]])</f>
        <v>0.29759961976047905</v>
      </c>
    </row>
    <row r="679" spans="1:11" x14ac:dyDescent="0.35">
      <c r="A679" s="1">
        <v>45488</v>
      </c>
      <c r="B679" s="3" t="s">
        <v>20</v>
      </c>
      <c r="C679" s="3" t="s">
        <v>22</v>
      </c>
      <c r="D679" s="3" t="s">
        <v>15</v>
      </c>
      <c r="E679" s="4">
        <v>11</v>
      </c>
      <c r="F679" s="4">
        <v>651</v>
      </c>
      <c r="G679" s="3" t="s">
        <v>13</v>
      </c>
      <c r="H679">
        <v>7161</v>
      </c>
      <c r="I679">
        <v>6007.8361489999998</v>
      </c>
      <c r="J679">
        <v>1153.163851</v>
      </c>
      <c r="K679" s="5">
        <f>IF(Table1[[#This Row],[Revenue]]=0, 0, Table1[[#This Row],[Profit]]/Table1[[#This Row],[Revenue]])</f>
        <v>0.16103391300097752</v>
      </c>
    </row>
    <row r="680" spans="1:11" x14ac:dyDescent="0.35">
      <c r="A680" s="1">
        <v>45594</v>
      </c>
      <c r="B680" s="3" t="s">
        <v>23</v>
      </c>
      <c r="C680" s="3" t="s">
        <v>22</v>
      </c>
      <c r="D680" s="3" t="s">
        <v>29</v>
      </c>
      <c r="E680" s="4">
        <v>6</v>
      </c>
      <c r="F680" s="4">
        <v>1910</v>
      </c>
      <c r="G680" s="3" t="s">
        <v>13</v>
      </c>
      <c r="H680">
        <v>11460</v>
      </c>
      <c r="I680">
        <v>9803.5629090000002</v>
      </c>
      <c r="J680">
        <v>1656.437091</v>
      </c>
      <c r="K680" s="5">
        <f>IF(Table1[[#This Row],[Revenue]]=0, 0, Table1[[#This Row],[Profit]]/Table1[[#This Row],[Revenue]])</f>
        <v>0.14454075837696334</v>
      </c>
    </row>
    <row r="681" spans="1:11" x14ac:dyDescent="0.35">
      <c r="A681" s="1">
        <v>45603</v>
      </c>
      <c r="B681" s="3" t="s">
        <v>27</v>
      </c>
      <c r="C681" s="3" t="s">
        <v>31</v>
      </c>
      <c r="D681" s="3" t="s">
        <v>32</v>
      </c>
      <c r="E681" s="4">
        <v>10</v>
      </c>
      <c r="F681" s="4">
        <v>693</v>
      </c>
      <c r="G681" s="3" t="s">
        <v>19</v>
      </c>
      <c r="H681">
        <v>6930</v>
      </c>
      <c r="I681">
        <v>4880.6435229999997</v>
      </c>
      <c r="J681">
        <v>2049.3564769999998</v>
      </c>
      <c r="K681" s="5">
        <f>IF(Table1[[#This Row],[Revenue]]=0, 0, Table1[[#This Row],[Profit]]/Table1[[#This Row],[Revenue]])</f>
        <v>0.29572243535353532</v>
      </c>
    </row>
    <row r="682" spans="1:11" x14ac:dyDescent="0.35">
      <c r="A682" s="1">
        <v>45577</v>
      </c>
      <c r="B682" s="3" t="s">
        <v>27</v>
      </c>
      <c r="C682" s="3" t="s">
        <v>14</v>
      </c>
      <c r="D682" s="3" t="s">
        <v>15</v>
      </c>
      <c r="E682" s="4">
        <v>3</v>
      </c>
      <c r="F682" s="4">
        <v>280</v>
      </c>
      <c r="G682" s="3" t="s">
        <v>16</v>
      </c>
      <c r="H682">
        <v>840</v>
      </c>
      <c r="I682">
        <v>660.01031839999996</v>
      </c>
      <c r="J682">
        <v>179.98968160000001</v>
      </c>
      <c r="K682" s="5">
        <f>IF(Table1[[#This Row],[Revenue]]=0, 0, Table1[[#This Row],[Profit]]/Table1[[#This Row],[Revenue]])</f>
        <v>0.21427343047619049</v>
      </c>
    </row>
    <row r="683" spans="1:11" x14ac:dyDescent="0.35">
      <c r="A683" s="1">
        <v>45533</v>
      </c>
      <c r="B683" s="3" t="s">
        <v>20</v>
      </c>
      <c r="C683" s="3" t="s">
        <v>24</v>
      </c>
      <c r="D683" s="3" t="s">
        <v>25</v>
      </c>
      <c r="E683" s="4">
        <v>14</v>
      </c>
      <c r="F683" s="4">
        <v>598</v>
      </c>
      <c r="G683" s="3" t="s">
        <v>19</v>
      </c>
      <c r="H683">
        <v>8372</v>
      </c>
      <c r="I683">
        <v>6491.1018679999997</v>
      </c>
      <c r="J683">
        <v>1880.898132</v>
      </c>
      <c r="K683" s="5">
        <f>IF(Table1[[#This Row],[Revenue]]=0, 0, Table1[[#This Row],[Profit]]/Table1[[#This Row],[Revenue]])</f>
        <v>0.2246653287147635</v>
      </c>
    </row>
    <row r="684" spans="1:11" x14ac:dyDescent="0.35">
      <c r="A684" s="1">
        <v>45542</v>
      </c>
      <c r="B684" s="3" t="s">
        <v>27</v>
      </c>
      <c r="C684" s="3" t="s">
        <v>26</v>
      </c>
      <c r="D684" s="3" t="s">
        <v>18</v>
      </c>
      <c r="E684" s="4">
        <v>14</v>
      </c>
      <c r="F684" s="4">
        <v>1443</v>
      </c>
      <c r="G684" s="3" t="s">
        <v>19</v>
      </c>
      <c r="H684">
        <v>20202</v>
      </c>
      <c r="I684">
        <v>15797.108480000001</v>
      </c>
      <c r="J684">
        <v>4404.8915200000001</v>
      </c>
      <c r="K684" s="5">
        <f>IF(Table1[[#This Row],[Revenue]]=0, 0, Table1[[#This Row],[Profit]]/Table1[[#This Row],[Revenue]])</f>
        <v>0.21804234828234828</v>
      </c>
    </row>
    <row r="685" spans="1:11" x14ac:dyDescent="0.35">
      <c r="A685" s="1">
        <v>45656</v>
      </c>
      <c r="B685" s="3" t="s">
        <v>20</v>
      </c>
      <c r="C685" s="3" t="s">
        <v>17</v>
      </c>
      <c r="D685" s="3" t="s">
        <v>18</v>
      </c>
      <c r="E685" s="4">
        <v>10</v>
      </c>
      <c r="F685" s="4">
        <v>182</v>
      </c>
      <c r="G685" s="3" t="s">
        <v>19</v>
      </c>
      <c r="H685">
        <v>1820</v>
      </c>
      <c r="I685">
        <v>1430.1160769999999</v>
      </c>
      <c r="J685">
        <v>389.88392329999999</v>
      </c>
      <c r="K685" s="5">
        <f>IF(Table1[[#This Row],[Revenue]]=0, 0, Table1[[#This Row],[Profit]]/Table1[[#This Row],[Revenue]])</f>
        <v>0.21422193587912086</v>
      </c>
    </row>
    <row r="686" spans="1:11" x14ac:dyDescent="0.35">
      <c r="A686" s="1">
        <v>45296</v>
      </c>
      <c r="B686" s="3" t="s">
        <v>20</v>
      </c>
      <c r="C686" s="3" t="s">
        <v>24</v>
      </c>
      <c r="D686" s="3" t="s">
        <v>32</v>
      </c>
      <c r="E686" s="4">
        <v>12</v>
      </c>
      <c r="F686" s="4">
        <v>402</v>
      </c>
      <c r="G686" s="3" t="s">
        <v>19</v>
      </c>
      <c r="H686">
        <v>4824</v>
      </c>
      <c r="I686">
        <v>4120.2626140000002</v>
      </c>
      <c r="J686">
        <v>703.73738619999995</v>
      </c>
      <c r="K686" s="5">
        <f>IF(Table1[[#This Row],[Revenue]]=0, 0, Table1[[#This Row],[Profit]]/Table1[[#This Row],[Revenue]])</f>
        <v>0.14588254274461027</v>
      </c>
    </row>
    <row r="687" spans="1:11" x14ac:dyDescent="0.35">
      <c r="A687" s="1">
        <v>45410</v>
      </c>
      <c r="B687" s="3" t="s">
        <v>20</v>
      </c>
      <c r="C687" s="3" t="s">
        <v>31</v>
      </c>
      <c r="D687" s="3" t="s">
        <v>30</v>
      </c>
      <c r="E687" s="4">
        <v>6</v>
      </c>
      <c r="F687" s="4">
        <v>361</v>
      </c>
      <c r="G687" s="3" t="s">
        <v>19</v>
      </c>
      <c r="H687">
        <v>2166</v>
      </c>
      <c r="I687">
        <v>1410.1189670000001</v>
      </c>
      <c r="J687">
        <v>755.88103269999999</v>
      </c>
      <c r="K687" s="5">
        <f>IF(Table1[[#This Row],[Revenue]]=0, 0, Table1[[#This Row],[Profit]]/Table1[[#This Row],[Revenue]])</f>
        <v>0.34897554602954756</v>
      </c>
    </row>
    <row r="688" spans="1:11" x14ac:dyDescent="0.35">
      <c r="A688" s="1">
        <v>45580</v>
      </c>
      <c r="B688" s="3" t="s">
        <v>27</v>
      </c>
      <c r="C688" s="3" t="s">
        <v>17</v>
      </c>
      <c r="D688" s="3" t="s">
        <v>25</v>
      </c>
      <c r="E688" s="4">
        <v>12</v>
      </c>
      <c r="F688" s="4">
        <v>883</v>
      </c>
      <c r="G688" s="3" t="s">
        <v>19</v>
      </c>
      <c r="H688">
        <v>10596</v>
      </c>
      <c r="I688">
        <v>7525.1540009999999</v>
      </c>
      <c r="J688">
        <v>3070.8459990000001</v>
      </c>
      <c r="K688" s="5">
        <f>IF(Table1[[#This Row],[Revenue]]=0, 0, Table1[[#This Row],[Profit]]/Table1[[#This Row],[Revenue]])</f>
        <v>0.28981181568516423</v>
      </c>
    </row>
    <row r="689" spans="1:11" x14ac:dyDescent="0.35">
      <c r="A689" s="1">
        <v>45356</v>
      </c>
      <c r="B689" s="3" t="s">
        <v>20</v>
      </c>
      <c r="C689" s="3" t="s">
        <v>28</v>
      </c>
      <c r="D689" s="3" t="s">
        <v>32</v>
      </c>
      <c r="E689" s="4">
        <v>14</v>
      </c>
      <c r="F689" s="4">
        <v>1323</v>
      </c>
      <c r="G689" s="3" t="s">
        <v>16</v>
      </c>
      <c r="H689">
        <v>18522</v>
      </c>
      <c r="I689">
        <v>14369.377200000001</v>
      </c>
      <c r="J689">
        <v>4152.6228019999999</v>
      </c>
      <c r="K689" s="5">
        <f>IF(Table1[[#This Row],[Revenue]]=0, 0, Table1[[#This Row],[Profit]]/Table1[[#This Row],[Revenue]])</f>
        <v>0.22419948180542057</v>
      </c>
    </row>
    <row r="690" spans="1:11" x14ac:dyDescent="0.35">
      <c r="A690" s="1">
        <v>45437</v>
      </c>
      <c r="B690" s="3" t="s">
        <v>23</v>
      </c>
      <c r="C690" s="3" t="s">
        <v>14</v>
      </c>
      <c r="D690" s="3" t="s">
        <v>29</v>
      </c>
      <c r="E690" s="4">
        <v>2</v>
      </c>
      <c r="F690" s="4">
        <v>1363</v>
      </c>
      <c r="G690" s="3" t="s">
        <v>16</v>
      </c>
      <c r="H690">
        <v>2726</v>
      </c>
      <c r="I690">
        <v>1867.305425</v>
      </c>
      <c r="J690">
        <v>858.69457539999996</v>
      </c>
      <c r="K690" s="5">
        <f>IF(Table1[[#This Row],[Revenue]]=0, 0, Table1[[#This Row],[Profit]]/Table1[[#This Row],[Revenue]])</f>
        <v>0.31500167842993393</v>
      </c>
    </row>
    <row r="691" spans="1:11" x14ac:dyDescent="0.35">
      <c r="A691" s="1">
        <v>45515</v>
      </c>
      <c r="B691" s="3" t="s">
        <v>10</v>
      </c>
      <c r="C691" s="3" t="s">
        <v>11</v>
      </c>
      <c r="D691" s="3" t="s">
        <v>15</v>
      </c>
      <c r="E691" s="4">
        <v>9</v>
      </c>
      <c r="F691" s="4">
        <v>1013</v>
      </c>
      <c r="G691" s="3" t="s">
        <v>13</v>
      </c>
      <c r="H691">
        <v>9117</v>
      </c>
      <c r="I691">
        <v>8145.5466040000001</v>
      </c>
      <c r="J691">
        <v>971.45339579999995</v>
      </c>
      <c r="K691" s="5">
        <f>IF(Table1[[#This Row],[Revenue]]=0, 0, Table1[[#This Row],[Profit]]/Table1[[#This Row],[Revenue]])</f>
        <v>0.10655406337611056</v>
      </c>
    </row>
    <row r="692" spans="1:11" x14ac:dyDescent="0.35">
      <c r="A692" s="1">
        <v>45530</v>
      </c>
      <c r="B692" s="3" t="s">
        <v>10</v>
      </c>
      <c r="C692" s="3" t="s">
        <v>17</v>
      </c>
      <c r="D692" s="3" t="s">
        <v>12</v>
      </c>
      <c r="E692" s="4">
        <v>10</v>
      </c>
      <c r="F692" s="4">
        <v>791</v>
      </c>
      <c r="G692" s="3" t="s">
        <v>19</v>
      </c>
      <c r="H692">
        <v>7910</v>
      </c>
      <c r="I692">
        <v>5370.4555659999996</v>
      </c>
      <c r="J692">
        <v>2539.5444339999999</v>
      </c>
      <c r="K692" s="5">
        <f>IF(Table1[[#This Row],[Revenue]]=0, 0, Table1[[#This Row],[Profit]]/Table1[[#This Row],[Revenue]])</f>
        <v>0.3210549221238938</v>
      </c>
    </row>
    <row r="693" spans="1:11" x14ac:dyDescent="0.35">
      <c r="A693" s="1">
        <v>45468</v>
      </c>
      <c r="B693" s="3" t="s">
        <v>20</v>
      </c>
      <c r="C693" s="3" t="s">
        <v>11</v>
      </c>
      <c r="D693" s="3" t="s">
        <v>29</v>
      </c>
      <c r="E693" s="4">
        <v>17</v>
      </c>
      <c r="F693" s="4">
        <v>1043</v>
      </c>
      <c r="G693" s="3" t="s">
        <v>13</v>
      </c>
      <c r="H693">
        <v>17731</v>
      </c>
      <c r="I693">
        <v>13136.696900000001</v>
      </c>
      <c r="J693">
        <v>4594.3030950000002</v>
      </c>
      <c r="K693" s="5">
        <f>IF(Table1[[#This Row],[Revenue]]=0, 0, Table1[[#This Row],[Profit]]/Table1[[#This Row],[Revenue]])</f>
        <v>0.25911133579606338</v>
      </c>
    </row>
    <row r="694" spans="1:11" x14ac:dyDescent="0.35">
      <c r="A694" s="1">
        <v>45558</v>
      </c>
      <c r="B694" s="3" t="s">
        <v>10</v>
      </c>
      <c r="C694" s="3" t="s">
        <v>33</v>
      </c>
      <c r="D694" s="3" t="s">
        <v>18</v>
      </c>
      <c r="E694" s="4">
        <v>17</v>
      </c>
      <c r="F694" s="4">
        <v>782</v>
      </c>
      <c r="G694" s="3" t="s">
        <v>19</v>
      </c>
      <c r="H694">
        <v>13294</v>
      </c>
      <c r="I694">
        <v>11475.50728</v>
      </c>
      <c r="J694">
        <v>1818.4927250000001</v>
      </c>
      <c r="K694" s="5">
        <f>IF(Table1[[#This Row],[Revenue]]=0, 0, Table1[[#This Row],[Profit]]/Table1[[#This Row],[Revenue]])</f>
        <v>0.13679048630961335</v>
      </c>
    </row>
    <row r="695" spans="1:11" x14ac:dyDescent="0.35">
      <c r="A695" s="1">
        <v>45632</v>
      </c>
      <c r="B695" s="3" t="s">
        <v>27</v>
      </c>
      <c r="C695" s="3" t="s">
        <v>11</v>
      </c>
      <c r="D695" s="3" t="s">
        <v>15</v>
      </c>
      <c r="E695" s="4">
        <v>3</v>
      </c>
      <c r="F695" s="4">
        <v>1418</v>
      </c>
      <c r="G695" s="3" t="s">
        <v>13</v>
      </c>
      <c r="H695">
        <v>4254</v>
      </c>
      <c r="I695">
        <v>2654.5772459999998</v>
      </c>
      <c r="J695">
        <v>1599.4227539999999</v>
      </c>
      <c r="K695" s="5">
        <f>IF(Table1[[#This Row],[Revenue]]=0, 0, Table1[[#This Row],[Profit]]/Table1[[#This Row],[Revenue]])</f>
        <v>0.37598090126939349</v>
      </c>
    </row>
    <row r="696" spans="1:11" x14ac:dyDescent="0.35">
      <c r="A696" s="1">
        <v>45573</v>
      </c>
      <c r="B696" s="3" t="s">
        <v>27</v>
      </c>
      <c r="C696" s="3" t="s">
        <v>24</v>
      </c>
      <c r="D696" s="3" t="s">
        <v>32</v>
      </c>
      <c r="E696" s="4">
        <v>19</v>
      </c>
      <c r="F696" s="4">
        <v>1635</v>
      </c>
      <c r="G696" s="3" t="s">
        <v>19</v>
      </c>
      <c r="H696">
        <v>31065</v>
      </c>
      <c r="I696">
        <v>26287.401839999999</v>
      </c>
      <c r="J696">
        <v>4777.598164</v>
      </c>
      <c r="K696" s="5">
        <f>IF(Table1[[#This Row],[Revenue]]=0, 0, Table1[[#This Row],[Profit]]/Table1[[#This Row],[Revenue]])</f>
        <v>0.15379359935618864</v>
      </c>
    </row>
    <row r="697" spans="1:11" x14ac:dyDescent="0.35">
      <c r="A697" s="1">
        <v>45354</v>
      </c>
      <c r="B697" s="3" t="s">
        <v>10</v>
      </c>
      <c r="C697" s="3" t="s">
        <v>24</v>
      </c>
      <c r="D697" s="3" t="s">
        <v>29</v>
      </c>
      <c r="E697" s="4">
        <v>1</v>
      </c>
      <c r="F697" s="4">
        <v>788</v>
      </c>
      <c r="G697" s="3" t="s">
        <v>19</v>
      </c>
      <c r="H697">
        <v>788</v>
      </c>
      <c r="I697">
        <v>607.78637839999999</v>
      </c>
      <c r="J697">
        <v>180.21362160000001</v>
      </c>
      <c r="K697" s="5">
        <f>IF(Table1[[#This Row],[Revenue]]=0, 0, Table1[[#This Row],[Profit]]/Table1[[#This Row],[Revenue]])</f>
        <v>0.22869748934010153</v>
      </c>
    </row>
    <row r="698" spans="1:11" x14ac:dyDescent="0.35">
      <c r="A698" s="1">
        <v>45508</v>
      </c>
      <c r="B698" s="3" t="s">
        <v>27</v>
      </c>
      <c r="C698" s="3" t="s">
        <v>24</v>
      </c>
      <c r="D698" s="3" t="s">
        <v>21</v>
      </c>
      <c r="E698" s="4">
        <v>12</v>
      </c>
      <c r="F698" s="4">
        <v>495</v>
      </c>
      <c r="G698" s="3" t="s">
        <v>19</v>
      </c>
      <c r="H698">
        <v>5940</v>
      </c>
      <c r="I698">
        <v>3620.671237</v>
      </c>
      <c r="J698">
        <v>2319.328763</v>
      </c>
      <c r="K698" s="5">
        <f>IF(Table1[[#This Row],[Revenue]]=0, 0, Table1[[#This Row],[Profit]]/Table1[[#This Row],[Revenue]])</f>
        <v>0.3904593877104377</v>
      </c>
    </row>
    <row r="699" spans="1:11" x14ac:dyDescent="0.35">
      <c r="A699" s="1">
        <v>45633</v>
      </c>
      <c r="B699" s="3" t="s">
        <v>10</v>
      </c>
      <c r="C699" s="3" t="s">
        <v>24</v>
      </c>
      <c r="D699" s="3" t="s">
        <v>12</v>
      </c>
      <c r="E699" s="4">
        <v>7</v>
      </c>
      <c r="F699" s="4">
        <v>1872</v>
      </c>
      <c r="G699" s="3" t="s">
        <v>19</v>
      </c>
      <c r="H699">
        <v>13104</v>
      </c>
      <c r="I699">
        <v>11411.93116</v>
      </c>
      <c r="J699">
        <v>1692.068839</v>
      </c>
      <c r="K699" s="5">
        <f>IF(Table1[[#This Row],[Revenue]]=0, 0, Table1[[#This Row],[Profit]]/Table1[[#This Row],[Revenue]])</f>
        <v>0.1291261324023199</v>
      </c>
    </row>
    <row r="700" spans="1:11" x14ac:dyDescent="0.35">
      <c r="A700" s="1">
        <v>45606</v>
      </c>
      <c r="B700" s="3" t="s">
        <v>10</v>
      </c>
      <c r="C700" s="3" t="s">
        <v>24</v>
      </c>
      <c r="D700" s="3" t="s">
        <v>30</v>
      </c>
      <c r="E700" s="4">
        <v>4</v>
      </c>
      <c r="F700" s="4">
        <v>1261</v>
      </c>
      <c r="G700" s="3" t="s">
        <v>19</v>
      </c>
      <c r="H700">
        <v>5044</v>
      </c>
      <c r="I700">
        <v>3085.7126509999998</v>
      </c>
      <c r="J700">
        <v>1958.2873489999999</v>
      </c>
      <c r="K700" s="5">
        <f>IF(Table1[[#This Row],[Revenue]]=0, 0, Table1[[#This Row],[Profit]]/Table1[[#This Row],[Revenue]])</f>
        <v>0.38824094944488502</v>
      </c>
    </row>
    <row r="701" spans="1:11" x14ac:dyDescent="0.35">
      <c r="A701" s="1">
        <v>45574</v>
      </c>
      <c r="B701" s="3" t="s">
        <v>10</v>
      </c>
      <c r="C701" s="3" t="s">
        <v>17</v>
      </c>
      <c r="D701" s="3" t="s">
        <v>25</v>
      </c>
      <c r="E701" s="4">
        <v>10</v>
      </c>
      <c r="F701" s="4">
        <v>938</v>
      </c>
      <c r="G701" s="3" t="s">
        <v>19</v>
      </c>
      <c r="H701">
        <v>9380</v>
      </c>
      <c r="I701">
        <v>7077.8228790000003</v>
      </c>
      <c r="J701">
        <v>2302.1771210000002</v>
      </c>
      <c r="K701" s="5">
        <f>IF(Table1[[#This Row],[Revenue]]=0, 0, Table1[[#This Row],[Profit]]/Table1[[#This Row],[Revenue]])</f>
        <v>0.24543466108742007</v>
      </c>
    </row>
    <row r="702" spans="1:11" x14ac:dyDescent="0.35">
      <c r="A702" s="1">
        <v>45468</v>
      </c>
      <c r="B702" s="3" t="s">
        <v>20</v>
      </c>
      <c r="C702" s="3" t="s">
        <v>24</v>
      </c>
      <c r="D702" s="3" t="s">
        <v>25</v>
      </c>
      <c r="E702" s="4">
        <v>13</v>
      </c>
      <c r="F702" s="4">
        <v>977</v>
      </c>
      <c r="G702" s="3" t="s">
        <v>19</v>
      </c>
      <c r="H702">
        <v>12701</v>
      </c>
      <c r="I702">
        <v>7807.4237579999999</v>
      </c>
      <c r="J702">
        <v>4893.5762420000001</v>
      </c>
      <c r="K702" s="5">
        <f>IF(Table1[[#This Row],[Revenue]]=0, 0, Table1[[#This Row],[Profit]]/Table1[[#This Row],[Revenue]])</f>
        <v>0.3852906260924337</v>
      </c>
    </row>
    <row r="703" spans="1:11" x14ac:dyDescent="0.35">
      <c r="A703" s="1">
        <v>45389</v>
      </c>
      <c r="B703" s="3" t="s">
        <v>10</v>
      </c>
      <c r="C703" s="3" t="s">
        <v>43</v>
      </c>
      <c r="D703" s="3" t="s">
        <v>30</v>
      </c>
      <c r="E703" s="4">
        <v>2</v>
      </c>
      <c r="F703" s="4">
        <v>922</v>
      </c>
      <c r="G703" s="3" t="s">
        <v>19</v>
      </c>
      <c r="H703">
        <v>1844</v>
      </c>
      <c r="I703">
        <v>1145.7878940000001</v>
      </c>
      <c r="J703">
        <v>698.21210550000001</v>
      </c>
      <c r="K703" s="5">
        <f>IF(Table1[[#This Row],[Revenue]]=0, 0, Table1[[#This Row],[Profit]]/Table1[[#This Row],[Revenue]])</f>
        <v>0.37863997044468545</v>
      </c>
    </row>
    <row r="704" spans="1:11" x14ac:dyDescent="0.35">
      <c r="A704" s="1">
        <v>45396</v>
      </c>
      <c r="B704" s="3" t="s">
        <v>20</v>
      </c>
      <c r="C704" s="3" t="s">
        <v>24</v>
      </c>
      <c r="D704" s="3" t="s">
        <v>21</v>
      </c>
      <c r="E704" s="4">
        <v>10</v>
      </c>
      <c r="F704" s="4">
        <v>1252</v>
      </c>
      <c r="G704" s="3" t="s">
        <v>19</v>
      </c>
      <c r="H704">
        <v>12520</v>
      </c>
      <c r="I704">
        <v>10844.339400000001</v>
      </c>
      <c r="J704">
        <v>1675.6605959999999</v>
      </c>
      <c r="K704" s="5">
        <f>IF(Table1[[#This Row],[Revenue]]=0, 0, Table1[[#This Row],[Profit]]/Table1[[#This Row],[Revenue]])</f>
        <v>0.13383870575079873</v>
      </c>
    </row>
    <row r="705" spans="1:11" x14ac:dyDescent="0.35">
      <c r="A705" s="1">
        <v>45390</v>
      </c>
      <c r="B705" s="3" t="s">
        <v>10</v>
      </c>
      <c r="C705" s="3" t="s">
        <v>11</v>
      </c>
      <c r="D705" s="3" t="s">
        <v>18</v>
      </c>
      <c r="E705" s="4">
        <v>4</v>
      </c>
      <c r="F705" s="4">
        <v>148</v>
      </c>
      <c r="G705" s="3" t="s">
        <v>13</v>
      </c>
      <c r="H705">
        <v>592</v>
      </c>
      <c r="I705">
        <v>491.21061709999998</v>
      </c>
      <c r="J705">
        <v>100.78938290000001</v>
      </c>
      <c r="K705" s="5">
        <f>IF(Table1[[#This Row],[Revenue]]=0, 0, Table1[[#This Row],[Profit]]/Table1[[#This Row],[Revenue]])</f>
        <v>0.17025233597972975</v>
      </c>
    </row>
    <row r="706" spans="1:11" x14ac:dyDescent="0.35">
      <c r="A706" s="1">
        <v>45602</v>
      </c>
      <c r="B706" s="3" t="s">
        <v>10</v>
      </c>
      <c r="C706" s="3" t="s">
        <v>28</v>
      </c>
      <c r="D706" s="3" t="s">
        <v>15</v>
      </c>
      <c r="E706" s="4">
        <v>18</v>
      </c>
      <c r="F706" s="4">
        <v>1799</v>
      </c>
      <c r="G706" s="3" t="s">
        <v>16</v>
      </c>
      <c r="H706">
        <v>32382</v>
      </c>
      <c r="I706">
        <v>21342.404719999999</v>
      </c>
      <c r="J706">
        <v>11039.59528</v>
      </c>
      <c r="K706" s="5">
        <f>IF(Table1[[#This Row],[Revenue]]=0, 0, Table1[[#This Row],[Profit]]/Table1[[#This Row],[Revenue]])</f>
        <v>0.34091764807609165</v>
      </c>
    </row>
    <row r="707" spans="1:11" x14ac:dyDescent="0.35">
      <c r="A707" s="1">
        <v>45297</v>
      </c>
      <c r="B707" s="3" t="s">
        <v>10</v>
      </c>
      <c r="C707" s="3" t="s">
        <v>24</v>
      </c>
      <c r="D707" s="3" t="s">
        <v>30</v>
      </c>
      <c r="E707" s="4">
        <v>5</v>
      </c>
      <c r="F707" s="4">
        <v>888</v>
      </c>
      <c r="G707" s="3" t="s">
        <v>19</v>
      </c>
      <c r="H707">
        <v>4440</v>
      </c>
      <c r="I707">
        <v>3490.4633399999998</v>
      </c>
      <c r="J707">
        <v>949.53665969999997</v>
      </c>
      <c r="K707" s="5">
        <f>IF(Table1[[#This Row],[Revenue]]=0, 0, Table1[[#This Row],[Profit]]/Table1[[#This Row],[Revenue]])</f>
        <v>0.21385960804054052</v>
      </c>
    </row>
    <row r="708" spans="1:11" x14ac:dyDescent="0.35">
      <c r="A708" s="1">
        <v>45488</v>
      </c>
      <c r="B708" s="3" t="s">
        <v>27</v>
      </c>
      <c r="C708" s="3" t="s">
        <v>31</v>
      </c>
      <c r="D708" s="3" t="s">
        <v>21</v>
      </c>
      <c r="E708" s="4">
        <v>19</v>
      </c>
      <c r="F708" s="4">
        <v>392</v>
      </c>
      <c r="G708" s="3" t="s">
        <v>19</v>
      </c>
      <c r="H708">
        <v>7448</v>
      </c>
      <c r="I708">
        <v>6244.4320280000002</v>
      </c>
      <c r="J708">
        <v>1203.5679720000001</v>
      </c>
      <c r="K708" s="5">
        <f>IF(Table1[[#This Row],[Revenue]]=0, 0, Table1[[#This Row],[Profit]]/Table1[[#This Row],[Revenue]])</f>
        <v>0.16159612943071966</v>
      </c>
    </row>
    <row r="709" spans="1:11" x14ac:dyDescent="0.35">
      <c r="A709" s="1">
        <v>45642</v>
      </c>
      <c r="B709" s="3" t="s">
        <v>20</v>
      </c>
      <c r="C709" s="3" t="s">
        <v>24</v>
      </c>
      <c r="D709" s="3" t="s">
        <v>32</v>
      </c>
      <c r="E709" s="4">
        <v>2</v>
      </c>
      <c r="F709" s="4">
        <v>1751</v>
      </c>
      <c r="G709" s="3" t="s">
        <v>19</v>
      </c>
      <c r="H709">
        <v>3502</v>
      </c>
      <c r="I709">
        <v>3035.8039279999998</v>
      </c>
      <c r="J709">
        <v>466.1960722</v>
      </c>
      <c r="K709" s="5">
        <f>IF(Table1[[#This Row],[Revenue]]=0, 0, Table1[[#This Row],[Profit]]/Table1[[#This Row],[Revenue]])</f>
        <v>0.13312280759565961</v>
      </c>
    </row>
    <row r="710" spans="1:11" x14ac:dyDescent="0.35">
      <c r="A710" s="1">
        <v>45424</v>
      </c>
      <c r="B710" s="3" t="s">
        <v>20</v>
      </c>
      <c r="C710" s="3" t="s">
        <v>24</v>
      </c>
      <c r="D710" s="3" t="s">
        <v>12</v>
      </c>
      <c r="E710" s="4">
        <v>12</v>
      </c>
      <c r="F710" s="4">
        <v>635</v>
      </c>
      <c r="G710" s="3" t="s">
        <v>19</v>
      </c>
      <c r="H710">
        <v>7620</v>
      </c>
      <c r="I710">
        <v>5642.5496350000003</v>
      </c>
      <c r="J710">
        <v>1977.4503649999999</v>
      </c>
      <c r="K710" s="5">
        <f>IF(Table1[[#This Row],[Revenue]]=0, 0, Table1[[#This Row],[Profit]]/Table1[[#This Row],[Revenue]])</f>
        <v>0.25950792191601046</v>
      </c>
    </row>
    <row r="711" spans="1:11" x14ac:dyDescent="0.35">
      <c r="A711" s="1">
        <v>45649</v>
      </c>
      <c r="B711" s="3" t="s">
        <v>10</v>
      </c>
      <c r="C711" s="3" t="s">
        <v>43</v>
      </c>
      <c r="D711" s="3" t="s">
        <v>25</v>
      </c>
      <c r="E711" s="4">
        <v>17</v>
      </c>
      <c r="F711" s="4">
        <v>410</v>
      </c>
      <c r="G711" s="3" t="s">
        <v>13</v>
      </c>
      <c r="H711">
        <v>6970</v>
      </c>
      <c r="I711">
        <v>6058.6722440000003</v>
      </c>
      <c r="J711">
        <v>911.3277564</v>
      </c>
      <c r="K711" s="5">
        <f>IF(Table1[[#This Row],[Revenue]]=0, 0, Table1[[#This Row],[Profit]]/Table1[[#This Row],[Revenue]])</f>
        <v>0.13075003678622668</v>
      </c>
    </row>
    <row r="712" spans="1:11" x14ac:dyDescent="0.35">
      <c r="A712" s="1">
        <v>45550</v>
      </c>
      <c r="B712" s="3" t="s">
        <v>10</v>
      </c>
      <c r="C712" s="3" t="s">
        <v>14</v>
      </c>
      <c r="D712" s="3" t="s">
        <v>12</v>
      </c>
      <c r="E712" s="4">
        <v>10</v>
      </c>
      <c r="F712" s="4">
        <v>636</v>
      </c>
      <c r="G712" s="3" t="s">
        <v>16</v>
      </c>
      <c r="H712">
        <v>6360</v>
      </c>
      <c r="I712">
        <v>4784.9779390000003</v>
      </c>
      <c r="J712">
        <v>1575.0220609999999</v>
      </c>
      <c r="K712" s="5">
        <f>IF(Table1[[#This Row],[Revenue]]=0, 0, Table1[[#This Row],[Profit]]/Table1[[#This Row],[Revenue]])</f>
        <v>0.24764497814465408</v>
      </c>
    </row>
    <row r="713" spans="1:11" x14ac:dyDescent="0.35">
      <c r="A713" s="1">
        <v>45314</v>
      </c>
      <c r="B713" s="3" t="s">
        <v>27</v>
      </c>
      <c r="C713" s="3" t="s">
        <v>22</v>
      </c>
      <c r="D713" s="3" t="s">
        <v>21</v>
      </c>
      <c r="E713" s="4">
        <v>2</v>
      </c>
      <c r="F713" s="4">
        <v>738</v>
      </c>
      <c r="G713" s="3" t="s">
        <v>13</v>
      </c>
      <c r="H713">
        <v>1476</v>
      </c>
      <c r="I713">
        <v>1190.3473770000001</v>
      </c>
      <c r="J713">
        <v>285.65262289999998</v>
      </c>
      <c r="K713" s="5">
        <f>IF(Table1[[#This Row],[Revenue]]=0, 0, Table1[[#This Row],[Profit]]/Table1[[#This Row],[Revenue]])</f>
        <v>0.19353158733062328</v>
      </c>
    </row>
    <row r="714" spans="1:11" x14ac:dyDescent="0.35">
      <c r="A714" s="1">
        <v>45344</v>
      </c>
      <c r="B714" s="3" t="s">
        <v>27</v>
      </c>
      <c r="C714" s="3" t="s">
        <v>11</v>
      </c>
      <c r="D714" s="3" t="s">
        <v>12</v>
      </c>
      <c r="E714" s="4">
        <v>6</v>
      </c>
      <c r="F714" s="4">
        <v>333</v>
      </c>
      <c r="G714" s="3" t="s">
        <v>13</v>
      </c>
      <c r="H714">
        <v>1998</v>
      </c>
      <c r="I714">
        <v>1785.6301980000001</v>
      </c>
      <c r="J714">
        <v>212.36980199999999</v>
      </c>
      <c r="K714" s="5">
        <f>IF(Table1[[#This Row],[Revenue]]=0, 0, Table1[[#This Row],[Profit]]/Table1[[#This Row],[Revenue]])</f>
        <v>0.10629119219219219</v>
      </c>
    </row>
    <row r="715" spans="1:11" x14ac:dyDescent="0.35">
      <c r="A715" s="1">
        <v>45456</v>
      </c>
      <c r="B715" s="3" t="s">
        <v>27</v>
      </c>
      <c r="C715" s="3" t="s">
        <v>31</v>
      </c>
      <c r="D715" s="3" t="s">
        <v>18</v>
      </c>
      <c r="E715" s="4">
        <v>8</v>
      </c>
      <c r="F715" s="4">
        <v>-100</v>
      </c>
      <c r="G715" s="3" t="s">
        <v>19</v>
      </c>
      <c r="H715">
        <v>-800</v>
      </c>
      <c r="I715">
        <v>-536.62842939999996</v>
      </c>
      <c r="J715">
        <v>-263.37157059999998</v>
      </c>
      <c r="K715" s="5">
        <f>IF(Table1[[#This Row],[Revenue]]=0, 0, Table1[[#This Row],[Profit]]/Table1[[#This Row],[Revenue]])</f>
        <v>0.32921446324999998</v>
      </c>
    </row>
    <row r="716" spans="1:11" x14ac:dyDescent="0.35">
      <c r="A716" s="1">
        <v>45493</v>
      </c>
      <c r="B716" s="3" t="s">
        <v>20</v>
      </c>
      <c r="C716" s="3" t="s">
        <v>22</v>
      </c>
      <c r="D716" s="3" t="s">
        <v>18</v>
      </c>
      <c r="E716" s="4">
        <v>19</v>
      </c>
      <c r="F716" s="4">
        <v>704</v>
      </c>
      <c r="G716" s="3" t="s">
        <v>13</v>
      </c>
      <c r="H716">
        <v>13376</v>
      </c>
      <c r="I716">
        <v>8701.8421770000004</v>
      </c>
      <c r="J716">
        <v>4674.1578229999996</v>
      </c>
      <c r="K716" s="5">
        <f>IF(Table1[[#This Row],[Revenue]]=0, 0, Table1[[#This Row],[Profit]]/Table1[[#This Row],[Revenue]])</f>
        <v>0.34944361715011957</v>
      </c>
    </row>
    <row r="717" spans="1:11" x14ac:dyDescent="0.35">
      <c r="A717" s="1">
        <v>45374</v>
      </c>
      <c r="B717" s="3" t="s">
        <v>20</v>
      </c>
      <c r="C717" s="3" t="s">
        <v>26</v>
      </c>
      <c r="D717" s="3" t="s">
        <v>29</v>
      </c>
      <c r="E717" s="4">
        <v>11</v>
      </c>
      <c r="F717" s="4">
        <v>193</v>
      </c>
      <c r="G717" s="3" t="s">
        <v>19</v>
      </c>
      <c r="H717">
        <v>2123</v>
      </c>
      <c r="I717">
        <v>1491.6317899999999</v>
      </c>
      <c r="J717">
        <v>631.36821039999995</v>
      </c>
      <c r="K717" s="5">
        <f>IF(Table1[[#This Row],[Revenue]]=0, 0, Table1[[#This Row],[Profit]]/Table1[[#This Row],[Revenue]])</f>
        <v>0.29739435252001883</v>
      </c>
    </row>
    <row r="718" spans="1:11" x14ac:dyDescent="0.35">
      <c r="A718" s="1">
        <v>45436</v>
      </c>
      <c r="B718" s="3" t="s">
        <v>20</v>
      </c>
      <c r="C718" s="3" t="s">
        <v>26</v>
      </c>
      <c r="D718" s="3" t="s">
        <v>30</v>
      </c>
      <c r="E718" s="4">
        <v>12</v>
      </c>
      <c r="F718" s="4">
        <v>426</v>
      </c>
      <c r="G718" s="3" t="s">
        <v>19</v>
      </c>
      <c r="H718">
        <v>5112</v>
      </c>
      <c r="I718">
        <v>3319.3223410000001</v>
      </c>
      <c r="J718">
        <v>1792.6776589999999</v>
      </c>
      <c r="K718" s="5">
        <f>IF(Table1[[#This Row],[Revenue]]=0, 0, Table1[[#This Row],[Profit]]/Table1[[#This Row],[Revenue]])</f>
        <v>0.35068029323161187</v>
      </c>
    </row>
    <row r="719" spans="1:11" x14ac:dyDescent="0.35">
      <c r="A719" s="1">
        <v>45376</v>
      </c>
      <c r="B719" s="3" t="s">
        <v>10</v>
      </c>
      <c r="C719" s="3" t="s">
        <v>14</v>
      </c>
      <c r="D719" s="3" t="s">
        <v>29</v>
      </c>
      <c r="E719" s="4">
        <v>9</v>
      </c>
      <c r="F719" s="4">
        <v>324</v>
      </c>
      <c r="G719" s="3" t="s">
        <v>16</v>
      </c>
      <c r="H719">
        <v>2916</v>
      </c>
      <c r="I719">
        <v>1998.185622</v>
      </c>
      <c r="J719">
        <v>917.81437759999994</v>
      </c>
      <c r="K719" s="5">
        <f>IF(Table1[[#This Row],[Revenue]]=0, 0, Table1[[#This Row],[Profit]]/Table1[[#This Row],[Revenue]])</f>
        <v>0.31475115829903977</v>
      </c>
    </row>
    <row r="720" spans="1:11" x14ac:dyDescent="0.35">
      <c r="A720" s="1">
        <v>45369</v>
      </c>
      <c r="B720" s="3" t="s">
        <v>20</v>
      </c>
      <c r="C720" s="3" t="s">
        <v>31</v>
      </c>
      <c r="D720" s="3" t="s">
        <v>12</v>
      </c>
      <c r="E720" s="4">
        <v>2</v>
      </c>
      <c r="F720" s="4">
        <v>1066</v>
      </c>
      <c r="G720" s="3" t="s">
        <v>19</v>
      </c>
      <c r="H720">
        <v>2132</v>
      </c>
      <c r="I720">
        <v>1754.413413</v>
      </c>
      <c r="J720">
        <v>377.5865872</v>
      </c>
      <c r="K720" s="5">
        <f>IF(Table1[[#This Row],[Revenue]]=0, 0, Table1[[#This Row],[Profit]]/Table1[[#This Row],[Revenue]])</f>
        <v>0.17710440300187616</v>
      </c>
    </row>
    <row r="721" spans="1:11" x14ac:dyDescent="0.35">
      <c r="A721" s="1">
        <v>45657</v>
      </c>
      <c r="B721" s="3" t="s">
        <v>23</v>
      </c>
      <c r="C721" s="3" t="s">
        <v>11</v>
      </c>
      <c r="D721" s="3" t="s">
        <v>25</v>
      </c>
      <c r="E721" s="4">
        <v>8</v>
      </c>
      <c r="F721" s="4">
        <v>989</v>
      </c>
      <c r="G721" s="3" t="s">
        <v>13</v>
      </c>
      <c r="H721">
        <v>7912</v>
      </c>
      <c r="I721">
        <v>5880.6510520000002</v>
      </c>
      <c r="J721">
        <v>2031.3489480000001</v>
      </c>
      <c r="K721" s="5">
        <f>IF(Table1[[#This Row],[Revenue]]=0, 0, Table1[[#This Row],[Profit]]/Table1[[#This Row],[Revenue]])</f>
        <v>0.25674278918099092</v>
      </c>
    </row>
    <row r="722" spans="1:11" x14ac:dyDescent="0.35">
      <c r="A722" s="1">
        <v>45292</v>
      </c>
      <c r="B722" s="3" t="s">
        <v>23</v>
      </c>
      <c r="C722" s="3" t="s">
        <v>17</v>
      </c>
      <c r="D722" s="3" t="s">
        <v>21</v>
      </c>
      <c r="E722" s="4">
        <v>11</v>
      </c>
      <c r="F722" s="4">
        <v>1915</v>
      </c>
      <c r="G722" s="3" t="s">
        <v>19</v>
      </c>
      <c r="H722">
        <v>21065</v>
      </c>
      <c r="I722">
        <v>15009.07346</v>
      </c>
      <c r="J722">
        <v>6055.926539</v>
      </c>
      <c r="K722" s="5">
        <f>IF(Table1[[#This Row],[Revenue]]=0, 0, Table1[[#This Row],[Profit]]/Table1[[#This Row],[Revenue]])</f>
        <v>0.28748761163066699</v>
      </c>
    </row>
    <row r="723" spans="1:11" x14ac:dyDescent="0.35">
      <c r="A723" s="1">
        <v>45342</v>
      </c>
      <c r="B723" s="3" t="s">
        <v>27</v>
      </c>
      <c r="C723" s="3" t="s">
        <v>31</v>
      </c>
      <c r="D723" s="3" t="s">
        <v>15</v>
      </c>
      <c r="E723" s="4">
        <v>4</v>
      </c>
      <c r="F723" s="4">
        <v>110</v>
      </c>
      <c r="G723" s="3" t="s">
        <v>19</v>
      </c>
      <c r="H723">
        <v>440</v>
      </c>
      <c r="I723">
        <v>312.67156870000002</v>
      </c>
      <c r="J723">
        <v>127.32843130000001</v>
      </c>
      <c r="K723" s="5">
        <f>IF(Table1[[#This Row],[Revenue]]=0, 0, Table1[[#This Row],[Profit]]/Table1[[#This Row],[Revenue]])</f>
        <v>0.28938279840909092</v>
      </c>
    </row>
    <row r="724" spans="1:11" x14ac:dyDescent="0.35">
      <c r="A724" s="1">
        <v>45464</v>
      </c>
      <c r="B724" s="3" t="s">
        <v>20</v>
      </c>
      <c r="C724" s="3" t="s">
        <v>28</v>
      </c>
      <c r="D724" s="3" t="s">
        <v>12</v>
      </c>
      <c r="E724" s="4">
        <v>10</v>
      </c>
      <c r="F724" s="4">
        <v>1452</v>
      </c>
      <c r="G724" s="3" t="s">
        <v>16</v>
      </c>
      <c r="H724">
        <v>14520</v>
      </c>
      <c r="I724">
        <v>9559.3725709999999</v>
      </c>
      <c r="J724">
        <v>4960.6274290000001</v>
      </c>
      <c r="K724" s="5">
        <f>IF(Table1[[#This Row],[Revenue]]=0, 0, Table1[[#This Row],[Profit]]/Table1[[#This Row],[Revenue]])</f>
        <v>0.34164100750688708</v>
      </c>
    </row>
    <row r="725" spans="1:11" x14ac:dyDescent="0.35">
      <c r="A725" s="1">
        <v>45496</v>
      </c>
      <c r="B725" s="3" t="s">
        <v>23</v>
      </c>
      <c r="C725" s="3" t="s">
        <v>22</v>
      </c>
      <c r="D725" s="3" t="s">
        <v>15</v>
      </c>
      <c r="E725" s="4">
        <v>16</v>
      </c>
      <c r="F725" s="4">
        <v>1135</v>
      </c>
      <c r="G725" s="3" t="s">
        <v>13</v>
      </c>
      <c r="H725">
        <v>18160</v>
      </c>
      <c r="I725">
        <v>13333.497600000001</v>
      </c>
      <c r="J725">
        <v>4826.5023970000002</v>
      </c>
      <c r="K725" s="5">
        <f>IF(Table1[[#This Row],[Revenue]]=0, 0, Table1[[#This Row],[Profit]]/Table1[[#This Row],[Revenue]])</f>
        <v>0.26577656371145375</v>
      </c>
    </row>
    <row r="726" spans="1:11" x14ac:dyDescent="0.35">
      <c r="A726" s="1">
        <v>45551</v>
      </c>
      <c r="B726" s="3" t="s">
        <v>27</v>
      </c>
      <c r="C726" s="3" t="s">
        <v>22</v>
      </c>
      <c r="D726" s="3" t="s">
        <v>18</v>
      </c>
      <c r="E726" s="4">
        <v>8</v>
      </c>
      <c r="F726" s="4">
        <v>134</v>
      </c>
      <c r="G726" s="3" t="s">
        <v>13</v>
      </c>
      <c r="H726">
        <v>1072</v>
      </c>
      <c r="I726">
        <v>844.08279570000002</v>
      </c>
      <c r="J726">
        <v>227.91720430000001</v>
      </c>
      <c r="K726" s="5">
        <f>IF(Table1[[#This Row],[Revenue]]=0, 0, Table1[[#This Row],[Profit]]/Table1[[#This Row],[Revenue]])</f>
        <v>0.21260933236940299</v>
      </c>
    </row>
    <row r="727" spans="1:11" x14ac:dyDescent="0.35">
      <c r="A727" s="1">
        <v>45579</v>
      </c>
      <c r="B727" s="3" t="s">
        <v>20</v>
      </c>
      <c r="C727" s="3" t="s">
        <v>24</v>
      </c>
      <c r="D727" s="3" t="s">
        <v>15</v>
      </c>
      <c r="E727" s="4">
        <v>4</v>
      </c>
      <c r="F727" s="4">
        <v>546</v>
      </c>
      <c r="G727" s="3" t="s">
        <v>19</v>
      </c>
      <c r="H727">
        <v>2184</v>
      </c>
      <c r="I727">
        <v>1401.5742479999999</v>
      </c>
      <c r="J727">
        <v>782.42575239999996</v>
      </c>
      <c r="K727" s="5">
        <f>IF(Table1[[#This Row],[Revenue]]=0, 0, Table1[[#This Row],[Profit]]/Table1[[#This Row],[Revenue]])</f>
        <v>0.3582535496336996</v>
      </c>
    </row>
    <row r="728" spans="1:11" x14ac:dyDescent="0.35">
      <c r="A728" s="1">
        <v>45325</v>
      </c>
      <c r="B728" s="3" t="s">
        <v>10</v>
      </c>
      <c r="C728" s="3" t="s">
        <v>26</v>
      </c>
      <c r="D728" s="3" t="s">
        <v>15</v>
      </c>
      <c r="E728" s="4">
        <v>10</v>
      </c>
      <c r="F728" s="4">
        <v>1575</v>
      </c>
      <c r="G728" s="3" t="s">
        <v>19</v>
      </c>
      <c r="H728">
        <v>15750</v>
      </c>
      <c r="I728">
        <v>14046.54077</v>
      </c>
      <c r="J728">
        <v>1703.4592299999999</v>
      </c>
      <c r="K728" s="5">
        <f>IF(Table1[[#This Row],[Revenue]]=0, 0, Table1[[#This Row],[Profit]]/Table1[[#This Row],[Revenue]])</f>
        <v>0.10815614158730158</v>
      </c>
    </row>
    <row r="729" spans="1:11" x14ac:dyDescent="0.35">
      <c r="A729" s="1">
        <v>45639</v>
      </c>
      <c r="B729" s="3" t="s">
        <v>23</v>
      </c>
      <c r="C729" s="3" t="s">
        <v>14</v>
      </c>
      <c r="D729" s="3" t="s">
        <v>25</v>
      </c>
      <c r="E729" s="4">
        <v>12</v>
      </c>
      <c r="F729" s="4">
        <v>1863</v>
      </c>
      <c r="G729" s="3" t="s">
        <v>16</v>
      </c>
      <c r="H729">
        <v>22356</v>
      </c>
      <c r="I729">
        <v>16386.598190000001</v>
      </c>
      <c r="J729">
        <v>5969.4018059999999</v>
      </c>
      <c r="K729" s="5">
        <f>IF(Table1[[#This Row],[Revenue]]=0, 0, Table1[[#This Row],[Profit]]/Table1[[#This Row],[Revenue]])</f>
        <v>0.26701564707461084</v>
      </c>
    </row>
    <row r="730" spans="1:11" x14ac:dyDescent="0.35">
      <c r="A730" s="1">
        <v>45363</v>
      </c>
      <c r="B730" s="3" t="s">
        <v>20</v>
      </c>
      <c r="C730" s="3" t="s">
        <v>31</v>
      </c>
      <c r="D730" s="3" t="s">
        <v>12</v>
      </c>
      <c r="E730" s="4">
        <v>16</v>
      </c>
      <c r="F730" s="4">
        <v>540</v>
      </c>
      <c r="G730" s="3" t="s">
        <v>19</v>
      </c>
      <c r="H730">
        <v>8640</v>
      </c>
      <c r="I730">
        <v>5533.035938</v>
      </c>
      <c r="J730">
        <v>3106.964062</v>
      </c>
      <c r="K730" s="5">
        <f>IF(Table1[[#This Row],[Revenue]]=0, 0, Table1[[#This Row],[Profit]]/Table1[[#This Row],[Revenue]])</f>
        <v>0.35960232199074077</v>
      </c>
    </row>
    <row r="731" spans="1:11" x14ac:dyDescent="0.35">
      <c r="A731" s="1">
        <v>45330</v>
      </c>
      <c r="B731" s="3" t="s">
        <v>23</v>
      </c>
      <c r="C731" s="3" t="s">
        <v>22</v>
      </c>
      <c r="D731" s="3" t="s">
        <v>21</v>
      </c>
      <c r="E731" s="4">
        <v>18</v>
      </c>
      <c r="F731" s="4">
        <v>752</v>
      </c>
      <c r="G731" s="3" t="s">
        <v>13</v>
      </c>
      <c r="H731">
        <v>13536</v>
      </c>
      <c r="I731">
        <v>11237.11054</v>
      </c>
      <c r="J731">
        <v>2298.8894570000002</v>
      </c>
      <c r="K731" s="5">
        <f>IF(Table1[[#This Row],[Revenue]]=0, 0, Table1[[#This Row],[Profit]]/Table1[[#This Row],[Revenue]])</f>
        <v>0.16983521402186763</v>
      </c>
    </row>
    <row r="732" spans="1:11" x14ac:dyDescent="0.35">
      <c r="A732" s="1">
        <v>45445</v>
      </c>
      <c r="B732" s="3" t="s">
        <v>20</v>
      </c>
      <c r="C732" s="3" t="s">
        <v>14</v>
      </c>
      <c r="D732" s="3" t="s">
        <v>15</v>
      </c>
      <c r="E732" s="4">
        <v>12</v>
      </c>
      <c r="F732" s="4">
        <v>1658</v>
      </c>
      <c r="G732" s="3" t="s">
        <v>16</v>
      </c>
      <c r="H732">
        <v>19896</v>
      </c>
      <c r="I732">
        <v>15624.157999999999</v>
      </c>
      <c r="J732">
        <v>4271.8420040000001</v>
      </c>
      <c r="K732" s="5">
        <f>IF(Table1[[#This Row],[Revenue]]=0, 0, Table1[[#This Row],[Profit]]/Table1[[#This Row],[Revenue]])</f>
        <v>0.21470858484117411</v>
      </c>
    </row>
    <row r="733" spans="1:11" x14ac:dyDescent="0.35">
      <c r="A733" s="1">
        <v>45541</v>
      </c>
      <c r="B733" s="3" t="s">
        <v>10</v>
      </c>
      <c r="C733" s="3" t="s">
        <v>14</v>
      </c>
      <c r="D733" s="3" t="s">
        <v>32</v>
      </c>
      <c r="E733" s="4">
        <v>18</v>
      </c>
      <c r="F733" s="4">
        <v>694</v>
      </c>
      <c r="G733" s="3" t="s">
        <v>16</v>
      </c>
      <c r="H733">
        <v>12492</v>
      </c>
      <c r="I733">
        <v>10568.47229</v>
      </c>
      <c r="J733">
        <v>1923.5277060000001</v>
      </c>
      <c r="K733" s="5">
        <f>IF(Table1[[#This Row],[Revenue]]=0, 0, Table1[[#This Row],[Profit]]/Table1[[#This Row],[Revenue]])</f>
        <v>0.15398076416906822</v>
      </c>
    </row>
    <row r="734" spans="1:11" x14ac:dyDescent="0.35">
      <c r="A734" s="1">
        <v>45453</v>
      </c>
      <c r="B734" s="3" t="s">
        <v>23</v>
      </c>
      <c r="C734" s="3" t="s">
        <v>14</v>
      </c>
      <c r="D734" s="3" t="s">
        <v>15</v>
      </c>
      <c r="E734" s="4">
        <v>7</v>
      </c>
      <c r="F734" s="4">
        <v>328</v>
      </c>
      <c r="G734" s="3" t="s">
        <v>16</v>
      </c>
      <c r="H734">
        <v>2296</v>
      </c>
      <c r="I734">
        <v>1791.346953</v>
      </c>
      <c r="J734">
        <v>504.6530467</v>
      </c>
      <c r="K734" s="5">
        <f>IF(Table1[[#This Row],[Revenue]]=0, 0, Table1[[#This Row],[Profit]]/Table1[[#This Row],[Revenue]])</f>
        <v>0.21979662312717771</v>
      </c>
    </row>
    <row r="735" spans="1:11" x14ac:dyDescent="0.35">
      <c r="A735" s="1">
        <v>45409</v>
      </c>
      <c r="B735" s="3" t="s">
        <v>10</v>
      </c>
      <c r="C735" s="3" t="s">
        <v>31</v>
      </c>
      <c r="D735" s="3" t="s">
        <v>15</v>
      </c>
      <c r="E735" s="4">
        <v>7</v>
      </c>
      <c r="F735" s="4">
        <v>443</v>
      </c>
      <c r="G735" s="3" t="s">
        <v>19</v>
      </c>
      <c r="H735">
        <v>3101</v>
      </c>
      <c r="I735">
        <v>2756.32692</v>
      </c>
      <c r="J735">
        <v>344.67308009999999</v>
      </c>
      <c r="K735" s="5">
        <f>IF(Table1[[#This Row],[Revenue]]=0, 0, Table1[[#This Row],[Profit]]/Table1[[#This Row],[Revenue]])</f>
        <v>0.11114901002902289</v>
      </c>
    </row>
    <row r="736" spans="1:11" x14ac:dyDescent="0.35">
      <c r="A736" s="1">
        <v>45550</v>
      </c>
      <c r="B736" s="3" t="s">
        <v>20</v>
      </c>
      <c r="C736" s="3" t="s">
        <v>17</v>
      </c>
      <c r="D736" s="3" t="s">
        <v>29</v>
      </c>
      <c r="E736" s="4">
        <v>9</v>
      </c>
      <c r="F736" s="4">
        <v>1203</v>
      </c>
      <c r="G736" s="3" t="s">
        <v>19</v>
      </c>
      <c r="H736">
        <v>10827</v>
      </c>
      <c r="I736">
        <v>8532.5372800000005</v>
      </c>
      <c r="J736">
        <v>2294.46272</v>
      </c>
      <c r="K736" s="5">
        <f>IF(Table1[[#This Row],[Revenue]]=0, 0, Table1[[#This Row],[Profit]]/Table1[[#This Row],[Revenue]])</f>
        <v>0.21192045072503926</v>
      </c>
    </row>
    <row r="737" spans="1:11" x14ac:dyDescent="0.35">
      <c r="A737" s="1">
        <v>45597</v>
      </c>
      <c r="B737" s="3" t="s">
        <v>20</v>
      </c>
      <c r="C737" s="3" t="s">
        <v>24</v>
      </c>
      <c r="D737" s="3" t="s">
        <v>21</v>
      </c>
      <c r="E737" s="4">
        <v>1</v>
      </c>
      <c r="F737" s="4">
        <v>1476</v>
      </c>
      <c r="G737" s="3" t="s">
        <v>19</v>
      </c>
      <c r="H737">
        <v>1476</v>
      </c>
      <c r="I737">
        <v>1233.0227070000001</v>
      </c>
      <c r="J737">
        <v>242.97729330000001</v>
      </c>
      <c r="K737" s="5">
        <f>IF(Table1[[#This Row],[Revenue]]=0, 0, Table1[[#This Row],[Profit]]/Table1[[#This Row],[Revenue]])</f>
        <v>0.164618762398374</v>
      </c>
    </row>
    <row r="738" spans="1:11" x14ac:dyDescent="0.35">
      <c r="A738" s="1">
        <v>45559</v>
      </c>
      <c r="B738" s="3" t="s">
        <v>10</v>
      </c>
      <c r="C738" s="3" t="s">
        <v>26</v>
      </c>
      <c r="D738" s="3" t="s">
        <v>12</v>
      </c>
      <c r="E738" s="4">
        <v>6</v>
      </c>
      <c r="F738" s="4">
        <v>1519</v>
      </c>
      <c r="G738" s="3" t="s">
        <v>19</v>
      </c>
      <c r="H738">
        <v>9114</v>
      </c>
      <c r="I738">
        <v>7867.8840819999996</v>
      </c>
      <c r="J738">
        <v>1246.115918</v>
      </c>
      <c r="K738" s="5">
        <f>IF(Table1[[#This Row],[Revenue]]=0, 0, Table1[[#This Row],[Profit]]/Table1[[#This Row],[Revenue]])</f>
        <v>0.13672546829054202</v>
      </c>
    </row>
    <row r="739" spans="1:11" x14ac:dyDescent="0.35">
      <c r="A739" s="1">
        <v>45345</v>
      </c>
      <c r="B739" s="3" t="s">
        <v>23</v>
      </c>
      <c r="C739" s="3" t="s">
        <v>22</v>
      </c>
      <c r="D739" s="3" t="s">
        <v>18</v>
      </c>
      <c r="E739" s="4">
        <v>6</v>
      </c>
      <c r="F739" s="4">
        <v>1413</v>
      </c>
      <c r="G739" s="3" t="s">
        <v>13</v>
      </c>
      <c r="H739">
        <v>8478</v>
      </c>
      <c r="I739">
        <v>6904.2716010000004</v>
      </c>
      <c r="J739">
        <v>1573.7283990000001</v>
      </c>
      <c r="K739" s="5">
        <f>IF(Table1[[#This Row],[Revenue]]=0, 0, Table1[[#This Row],[Profit]]/Table1[[#This Row],[Revenue]])</f>
        <v>0.18562495859872613</v>
      </c>
    </row>
    <row r="740" spans="1:11" x14ac:dyDescent="0.35">
      <c r="A740" s="1">
        <v>45527</v>
      </c>
      <c r="B740" s="3" t="s">
        <v>10</v>
      </c>
      <c r="C740" s="3" t="s">
        <v>31</v>
      </c>
      <c r="D740" s="3" t="s">
        <v>29</v>
      </c>
      <c r="E740" s="4">
        <v>12</v>
      </c>
      <c r="F740" s="4">
        <v>1578</v>
      </c>
      <c r="G740" s="3" t="s">
        <v>19</v>
      </c>
      <c r="H740">
        <v>18936</v>
      </c>
      <c r="I740">
        <v>14339.6836</v>
      </c>
      <c r="J740">
        <v>4596.316401</v>
      </c>
      <c r="K740" s="5">
        <f>IF(Table1[[#This Row],[Revenue]]=0, 0, Table1[[#This Row],[Profit]]/Table1[[#This Row],[Revenue]])</f>
        <v>0.24272900301013942</v>
      </c>
    </row>
    <row r="741" spans="1:11" x14ac:dyDescent="0.35">
      <c r="A741" s="1">
        <v>45513</v>
      </c>
      <c r="B741" s="3" t="s">
        <v>20</v>
      </c>
      <c r="C741" s="3" t="s">
        <v>11</v>
      </c>
      <c r="D741" s="3" t="s">
        <v>12</v>
      </c>
      <c r="E741" s="4">
        <v>12</v>
      </c>
      <c r="F741" s="4">
        <v>1966</v>
      </c>
      <c r="G741" s="3" t="s">
        <v>13</v>
      </c>
      <c r="H741">
        <v>23592</v>
      </c>
      <c r="I741">
        <v>16086.09016</v>
      </c>
      <c r="J741">
        <v>7505.9098430000004</v>
      </c>
      <c r="K741" s="5">
        <f>IF(Table1[[#This Row],[Revenue]]=0, 0, Table1[[#This Row],[Profit]]/Table1[[#This Row],[Revenue]])</f>
        <v>0.318154876356392</v>
      </c>
    </row>
    <row r="742" spans="1:11" x14ac:dyDescent="0.35">
      <c r="A742" s="1">
        <v>45542</v>
      </c>
      <c r="B742" s="3" t="s">
        <v>36</v>
      </c>
      <c r="C742" s="3" t="s">
        <v>26</v>
      </c>
      <c r="D742" s="3" t="s">
        <v>30</v>
      </c>
      <c r="E742" s="4">
        <v>10</v>
      </c>
      <c r="F742" s="4">
        <v>1794</v>
      </c>
      <c r="G742" s="3" t="s">
        <v>19</v>
      </c>
      <c r="H742">
        <v>17940</v>
      </c>
      <c r="I742">
        <v>15362.87925</v>
      </c>
      <c r="J742">
        <v>2577.1207549999999</v>
      </c>
      <c r="K742" s="5">
        <f>IF(Table1[[#This Row],[Revenue]]=0, 0, Table1[[#This Row],[Profit]]/Table1[[#This Row],[Revenue]])</f>
        <v>0.14365221599777034</v>
      </c>
    </row>
    <row r="743" spans="1:11" x14ac:dyDescent="0.35">
      <c r="A743" s="1">
        <v>45604</v>
      </c>
      <c r="B743" s="3" t="s">
        <v>20</v>
      </c>
      <c r="C743" s="3" t="s">
        <v>17</v>
      </c>
      <c r="D743" s="3" t="s">
        <v>21</v>
      </c>
      <c r="E743" s="4">
        <v>6</v>
      </c>
      <c r="F743" s="4">
        <v>1088</v>
      </c>
      <c r="G743" s="3" t="s">
        <v>19</v>
      </c>
      <c r="H743">
        <v>6528</v>
      </c>
      <c r="I743">
        <v>4857.9644500000004</v>
      </c>
      <c r="J743">
        <v>1670.0355500000001</v>
      </c>
      <c r="K743" s="5">
        <f>IF(Table1[[#This Row],[Revenue]]=0, 0, Table1[[#This Row],[Profit]]/Table1[[#This Row],[Revenue]])</f>
        <v>0.25582652420343138</v>
      </c>
    </row>
    <row r="744" spans="1:11" x14ac:dyDescent="0.35">
      <c r="A744" s="1">
        <v>45403</v>
      </c>
      <c r="B744" s="3" t="s">
        <v>10</v>
      </c>
      <c r="C744" s="3" t="s">
        <v>31</v>
      </c>
      <c r="D744" s="3" t="s">
        <v>32</v>
      </c>
      <c r="E744" s="4">
        <v>17</v>
      </c>
      <c r="F744" s="4">
        <v>1251</v>
      </c>
      <c r="G744" s="3" t="s">
        <v>19</v>
      </c>
      <c r="H744">
        <v>21267</v>
      </c>
      <c r="I744">
        <v>16720.380550000002</v>
      </c>
      <c r="J744">
        <v>4546.6194450000003</v>
      </c>
      <c r="K744" s="5">
        <f>IF(Table1[[#This Row],[Revenue]]=0, 0, Table1[[#This Row],[Profit]]/Table1[[#This Row],[Revenue]])</f>
        <v>0.21378753209197349</v>
      </c>
    </row>
    <row r="745" spans="1:11" x14ac:dyDescent="0.35">
      <c r="A745" s="1">
        <v>45546</v>
      </c>
      <c r="B745" s="3" t="s">
        <v>23</v>
      </c>
      <c r="C745" s="3" t="s">
        <v>28</v>
      </c>
      <c r="D745" s="3" t="s">
        <v>21</v>
      </c>
      <c r="E745" s="4">
        <v>19</v>
      </c>
      <c r="F745" s="4">
        <v>1825</v>
      </c>
      <c r="G745" s="3" t="s">
        <v>16</v>
      </c>
      <c r="H745">
        <v>34675</v>
      </c>
      <c r="I745">
        <v>21629.154060000001</v>
      </c>
      <c r="J745">
        <v>13045.845939999999</v>
      </c>
      <c r="K745" s="5">
        <f>IF(Table1[[#This Row],[Revenue]]=0, 0, Table1[[#This Row],[Profit]]/Table1[[#This Row],[Revenue]])</f>
        <v>0.37623203864455657</v>
      </c>
    </row>
    <row r="746" spans="1:11" x14ac:dyDescent="0.35">
      <c r="A746" s="1">
        <v>45594</v>
      </c>
      <c r="B746" s="3" t="s">
        <v>23</v>
      </c>
      <c r="C746" s="3" t="s">
        <v>28</v>
      </c>
      <c r="D746" s="3" t="s">
        <v>30</v>
      </c>
      <c r="E746" s="4">
        <v>18</v>
      </c>
      <c r="F746" s="4">
        <v>1008</v>
      </c>
      <c r="G746" s="3" t="s">
        <v>16</v>
      </c>
      <c r="H746">
        <v>18144</v>
      </c>
      <c r="I746">
        <v>13593.58272</v>
      </c>
      <c r="J746">
        <v>4550.4172779999999</v>
      </c>
      <c r="K746" s="5">
        <f>IF(Table1[[#This Row],[Revenue]]=0, 0, Table1[[#This Row],[Profit]]/Table1[[#This Row],[Revenue]])</f>
        <v>0.2507946030643739</v>
      </c>
    </row>
    <row r="747" spans="1:11" x14ac:dyDescent="0.35">
      <c r="A747" s="1">
        <v>45498</v>
      </c>
      <c r="B747" s="3" t="s">
        <v>10</v>
      </c>
      <c r="C747" s="3" t="s">
        <v>24</v>
      </c>
      <c r="D747" s="3" t="s">
        <v>30</v>
      </c>
      <c r="E747" s="4">
        <v>6</v>
      </c>
      <c r="F747" s="4">
        <v>1666</v>
      </c>
      <c r="G747" s="3" t="s">
        <v>19</v>
      </c>
      <c r="H747">
        <v>9996</v>
      </c>
      <c r="I747">
        <v>8091.2351429999999</v>
      </c>
      <c r="J747">
        <v>1904.7648569999999</v>
      </c>
      <c r="K747" s="5">
        <f>IF(Table1[[#This Row],[Revenue]]=0, 0, Table1[[#This Row],[Profit]]/Table1[[#This Row],[Revenue]])</f>
        <v>0.19055270678271308</v>
      </c>
    </row>
    <row r="748" spans="1:11" x14ac:dyDescent="0.35">
      <c r="A748" s="1">
        <v>45520</v>
      </c>
      <c r="B748" s="3" t="s">
        <v>10</v>
      </c>
      <c r="C748" s="3" t="s">
        <v>24</v>
      </c>
      <c r="D748" s="3" t="s">
        <v>30</v>
      </c>
      <c r="E748" s="4">
        <v>19</v>
      </c>
      <c r="F748" s="4">
        <v>1482</v>
      </c>
      <c r="G748" s="3" t="s">
        <v>19</v>
      </c>
      <c r="H748">
        <v>28158</v>
      </c>
      <c r="I748">
        <v>21828.689050000001</v>
      </c>
      <c r="J748">
        <v>6329.3109480000003</v>
      </c>
      <c r="K748" s="5">
        <f>IF(Table1[[#This Row],[Revenue]]=0, 0, Table1[[#This Row],[Profit]]/Table1[[#This Row],[Revenue]])</f>
        <v>0.22477842701896442</v>
      </c>
    </row>
    <row r="749" spans="1:11" x14ac:dyDescent="0.35">
      <c r="A749" s="1">
        <v>45632</v>
      </c>
      <c r="B749" s="3" t="s">
        <v>23</v>
      </c>
      <c r="C749" s="3" t="s">
        <v>17</v>
      </c>
      <c r="D749" s="3" t="s">
        <v>25</v>
      </c>
      <c r="E749" s="4">
        <v>10</v>
      </c>
      <c r="F749" s="4">
        <v>626</v>
      </c>
      <c r="G749" s="3" t="s">
        <v>19</v>
      </c>
      <c r="H749">
        <v>6260</v>
      </c>
      <c r="I749">
        <v>4598.3860199999999</v>
      </c>
      <c r="J749">
        <v>1661.6139800000001</v>
      </c>
      <c r="K749" s="5">
        <f>IF(Table1[[#This Row],[Revenue]]=0, 0, Table1[[#This Row],[Profit]]/Table1[[#This Row],[Revenue]])</f>
        <v>0.26543354313099043</v>
      </c>
    </row>
    <row r="750" spans="1:11" x14ac:dyDescent="0.35">
      <c r="A750" s="1">
        <v>45357</v>
      </c>
      <c r="B750" s="3" t="s">
        <v>20</v>
      </c>
      <c r="C750" s="3" t="s">
        <v>17</v>
      </c>
      <c r="D750" s="3" t="s">
        <v>18</v>
      </c>
      <c r="E750" s="4">
        <v>8</v>
      </c>
      <c r="F750" s="4">
        <v>1436</v>
      </c>
      <c r="G750" s="3" t="s">
        <v>19</v>
      </c>
      <c r="H750">
        <v>11488</v>
      </c>
      <c r="I750">
        <v>7662.819904</v>
      </c>
      <c r="J750">
        <v>3825.180096</v>
      </c>
      <c r="K750" s="5">
        <f>IF(Table1[[#This Row],[Revenue]]=0, 0, Table1[[#This Row],[Profit]]/Table1[[#This Row],[Revenue]])</f>
        <v>0.33297180501392759</v>
      </c>
    </row>
    <row r="751" spans="1:11" x14ac:dyDescent="0.35">
      <c r="A751" s="1">
        <v>45394</v>
      </c>
      <c r="B751" s="3" t="s">
        <v>20</v>
      </c>
      <c r="C751" s="3" t="s">
        <v>22</v>
      </c>
      <c r="D751" s="3" t="s">
        <v>21</v>
      </c>
      <c r="E751" s="4">
        <v>7</v>
      </c>
      <c r="F751" s="4">
        <v>1669</v>
      </c>
      <c r="G751" s="3" t="s">
        <v>13</v>
      </c>
      <c r="H751">
        <v>11683</v>
      </c>
      <c r="I751">
        <v>9465.4183130000001</v>
      </c>
      <c r="J751">
        <v>2217.5816869999999</v>
      </c>
      <c r="K751" s="5">
        <f>IF(Table1[[#This Row],[Revenue]]=0, 0, Table1[[#This Row],[Profit]]/Table1[[#This Row],[Revenue]])</f>
        <v>0.18981269254472311</v>
      </c>
    </row>
    <row r="752" spans="1:11" x14ac:dyDescent="0.35">
      <c r="A752" s="1">
        <v>45483</v>
      </c>
      <c r="B752" s="3" t="s">
        <v>10</v>
      </c>
      <c r="C752" s="3" t="s">
        <v>22</v>
      </c>
      <c r="D752" s="3" t="s">
        <v>12</v>
      </c>
      <c r="E752" s="4">
        <v>1</v>
      </c>
      <c r="F752" s="4">
        <v>1994</v>
      </c>
      <c r="G752" s="3" t="s">
        <v>13</v>
      </c>
      <c r="H752">
        <v>1994</v>
      </c>
      <c r="I752">
        <v>1330.5108760000001</v>
      </c>
      <c r="J752">
        <v>663.48912399999995</v>
      </c>
      <c r="K752" s="5">
        <f>IF(Table1[[#This Row],[Revenue]]=0, 0, Table1[[#This Row],[Profit]]/Table1[[#This Row],[Revenue]])</f>
        <v>0.33274279037111332</v>
      </c>
    </row>
    <row r="753" spans="1:11" x14ac:dyDescent="0.35">
      <c r="A753" s="1">
        <v>45543</v>
      </c>
      <c r="B753" s="3" t="s">
        <v>10</v>
      </c>
      <c r="C753" s="3" t="s">
        <v>31</v>
      </c>
      <c r="D753" s="3" t="s">
        <v>25</v>
      </c>
      <c r="E753" s="4">
        <v>18</v>
      </c>
      <c r="F753" s="4">
        <v>295</v>
      </c>
      <c r="G753" s="3" t="s">
        <v>19</v>
      </c>
      <c r="H753">
        <v>5310</v>
      </c>
      <c r="I753">
        <v>4176.4104980000002</v>
      </c>
      <c r="J753">
        <v>1133.589502</v>
      </c>
      <c r="K753" s="5">
        <f>IF(Table1[[#This Row],[Revenue]]=0, 0, Table1[[#This Row],[Profit]]/Table1[[#This Row],[Revenue]])</f>
        <v>0.21348201544256121</v>
      </c>
    </row>
    <row r="754" spans="1:11" x14ac:dyDescent="0.35">
      <c r="A754" s="1">
        <v>45517</v>
      </c>
      <c r="B754" s="3" t="s">
        <v>20</v>
      </c>
      <c r="C754" s="3" t="s">
        <v>43</v>
      </c>
      <c r="D754" s="3" t="s">
        <v>44</v>
      </c>
      <c r="E754" s="4">
        <v>12</v>
      </c>
      <c r="F754" s="4">
        <v>1966</v>
      </c>
      <c r="G754" s="3" t="s">
        <v>13</v>
      </c>
      <c r="H754">
        <v>23592</v>
      </c>
      <c r="I754">
        <v>18329.126929999999</v>
      </c>
      <c r="J754">
        <v>5262.8730729999997</v>
      </c>
      <c r="K754" s="5">
        <f>IF(Table1[[#This Row],[Revenue]]=0, 0, Table1[[#This Row],[Profit]]/Table1[[#This Row],[Revenue]])</f>
        <v>0.22307871621736181</v>
      </c>
    </row>
    <row r="755" spans="1:11" x14ac:dyDescent="0.35">
      <c r="A755" s="1">
        <v>45585</v>
      </c>
      <c r="B755" s="3" t="s">
        <v>10</v>
      </c>
      <c r="C755" s="3" t="s">
        <v>31</v>
      </c>
      <c r="D755" s="3" t="s">
        <v>15</v>
      </c>
      <c r="E755" s="4">
        <v>16</v>
      </c>
      <c r="F755" s="4">
        <v>128</v>
      </c>
      <c r="G755" s="3" t="s">
        <v>19</v>
      </c>
      <c r="H755">
        <v>2048</v>
      </c>
      <c r="I755">
        <v>1825.0244990000001</v>
      </c>
      <c r="J755">
        <v>222.9755007</v>
      </c>
      <c r="K755" s="5">
        <f>IF(Table1[[#This Row],[Revenue]]=0, 0, Table1[[#This Row],[Profit]]/Table1[[#This Row],[Revenue]])</f>
        <v>0.10887475620117187</v>
      </c>
    </row>
    <row r="756" spans="1:11" x14ac:dyDescent="0.35">
      <c r="A756" s="1">
        <v>45597</v>
      </c>
      <c r="B756" s="3" t="s">
        <v>20</v>
      </c>
      <c r="C756" s="3" t="s">
        <v>11</v>
      </c>
      <c r="D756" s="3" t="s">
        <v>15</v>
      </c>
      <c r="E756" s="4">
        <v>10</v>
      </c>
      <c r="F756" s="4">
        <v>805</v>
      </c>
      <c r="G756" s="3" t="s">
        <v>13</v>
      </c>
      <c r="H756">
        <v>8050</v>
      </c>
      <c r="I756">
        <v>4976.7881500000003</v>
      </c>
      <c r="J756">
        <v>3073.2118500000001</v>
      </c>
      <c r="K756" s="5">
        <f>IF(Table1[[#This Row],[Revenue]]=0, 0, Table1[[#This Row],[Profit]]/Table1[[#This Row],[Revenue]])</f>
        <v>0.38176544720496897</v>
      </c>
    </row>
    <row r="757" spans="1:11" x14ac:dyDescent="0.35">
      <c r="A757" s="1">
        <v>45389</v>
      </c>
      <c r="B757" s="3" t="s">
        <v>27</v>
      </c>
      <c r="C757" s="3" t="s">
        <v>17</v>
      </c>
      <c r="D757" s="3" t="s">
        <v>32</v>
      </c>
      <c r="E757" s="4">
        <v>10</v>
      </c>
      <c r="F757" s="4">
        <v>1120</v>
      </c>
      <c r="G757" s="3" t="s">
        <v>19</v>
      </c>
      <c r="H757">
        <v>11200</v>
      </c>
      <c r="I757">
        <v>7083.2919609999999</v>
      </c>
      <c r="J757">
        <v>4116.7080390000001</v>
      </c>
      <c r="K757" s="5">
        <f>IF(Table1[[#This Row],[Revenue]]=0, 0, Table1[[#This Row],[Profit]]/Table1[[#This Row],[Revenue]])</f>
        <v>0.36756321776785716</v>
      </c>
    </row>
    <row r="758" spans="1:11" x14ac:dyDescent="0.35">
      <c r="A758" s="1">
        <v>45629</v>
      </c>
      <c r="B758" s="3" t="s">
        <v>23</v>
      </c>
      <c r="C758" s="3" t="s">
        <v>26</v>
      </c>
      <c r="D758" s="3" t="s">
        <v>30</v>
      </c>
      <c r="E758" s="4">
        <v>14</v>
      </c>
      <c r="F758" s="4">
        <v>115</v>
      </c>
      <c r="G758" s="3" t="s">
        <v>19</v>
      </c>
      <c r="H758">
        <v>1610</v>
      </c>
      <c r="I758">
        <v>1210.438314</v>
      </c>
      <c r="J758">
        <v>399.56168609999997</v>
      </c>
      <c r="K758" s="5">
        <f>IF(Table1[[#This Row],[Revenue]]=0, 0, Table1[[#This Row],[Profit]]/Table1[[#This Row],[Revenue]])</f>
        <v>0.248174960310559</v>
      </c>
    </row>
    <row r="759" spans="1:11" x14ac:dyDescent="0.35">
      <c r="A759" s="1">
        <v>45577</v>
      </c>
      <c r="B759" s="3" t="s">
        <v>27</v>
      </c>
      <c r="C759" s="3" t="s">
        <v>31</v>
      </c>
      <c r="D759" s="3" t="s">
        <v>18</v>
      </c>
      <c r="E759" s="4">
        <v>10</v>
      </c>
      <c r="F759" s="4">
        <v>1546</v>
      </c>
      <c r="G759" s="3" t="s">
        <v>19</v>
      </c>
      <c r="H759">
        <v>15460</v>
      </c>
      <c r="I759">
        <v>11720.73537</v>
      </c>
      <c r="J759">
        <v>3739.2646300000001</v>
      </c>
      <c r="K759" s="5">
        <f>IF(Table1[[#This Row],[Revenue]]=0, 0, Table1[[#This Row],[Profit]]/Table1[[#This Row],[Revenue]])</f>
        <v>0.24186705239327297</v>
      </c>
    </row>
    <row r="760" spans="1:11" x14ac:dyDescent="0.35">
      <c r="A760" s="1">
        <v>45626</v>
      </c>
      <c r="B760" s="3" t="s">
        <v>20</v>
      </c>
      <c r="C760" s="3" t="s">
        <v>31</v>
      </c>
      <c r="D760" s="3" t="s">
        <v>32</v>
      </c>
      <c r="E760" s="4">
        <v>10</v>
      </c>
      <c r="F760" s="4">
        <v>1712</v>
      </c>
      <c r="G760" s="3" t="s">
        <v>19</v>
      </c>
      <c r="H760">
        <v>17120</v>
      </c>
      <c r="I760">
        <v>10477.06846</v>
      </c>
      <c r="J760">
        <v>6642.931544</v>
      </c>
      <c r="K760" s="5">
        <f>IF(Table1[[#This Row],[Revenue]]=0, 0, Table1[[#This Row],[Profit]]/Table1[[#This Row],[Revenue]])</f>
        <v>0.38802170233644862</v>
      </c>
    </row>
    <row r="761" spans="1:11" x14ac:dyDescent="0.35">
      <c r="A761" s="1">
        <v>45638</v>
      </c>
      <c r="B761" s="3" t="s">
        <v>23</v>
      </c>
      <c r="C761" s="3" t="s">
        <v>11</v>
      </c>
      <c r="D761" s="3" t="s">
        <v>29</v>
      </c>
      <c r="E761" s="4">
        <v>11</v>
      </c>
      <c r="F761" s="4">
        <v>904</v>
      </c>
      <c r="G761" s="3" t="s">
        <v>13</v>
      </c>
      <c r="H761">
        <v>9944</v>
      </c>
      <c r="I761">
        <v>8430.0918920000004</v>
      </c>
      <c r="J761">
        <v>1513.9081080000001</v>
      </c>
      <c r="K761" s="5">
        <f>IF(Table1[[#This Row],[Revenue]]=0, 0, Table1[[#This Row],[Profit]]/Table1[[#This Row],[Revenue]])</f>
        <v>0.15224337369267901</v>
      </c>
    </row>
    <row r="762" spans="1:11" x14ac:dyDescent="0.35">
      <c r="A762" s="1">
        <v>45599</v>
      </c>
      <c r="B762" s="3" t="s">
        <v>20</v>
      </c>
      <c r="C762" s="3" t="s">
        <v>14</v>
      </c>
      <c r="D762" s="3" t="s">
        <v>25</v>
      </c>
      <c r="E762" s="4">
        <v>2</v>
      </c>
      <c r="F762" s="4">
        <v>1716</v>
      </c>
      <c r="G762" s="3" t="s">
        <v>16</v>
      </c>
      <c r="H762">
        <v>3432</v>
      </c>
      <c r="I762">
        <v>2568.5673139999999</v>
      </c>
      <c r="J762">
        <v>863.43268639999997</v>
      </c>
      <c r="K762" s="5">
        <f>IF(Table1[[#This Row],[Revenue]]=0, 0, Table1[[#This Row],[Profit]]/Table1[[#This Row],[Revenue]])</f>
        <v>0.2515829505827506</v>
      </c>
    </row>
    <row r="763" spans="1:11" x14ac:dyDescent="0.35">
      <c r="A763" s="1">
        <v>45540</v>
      </c>
      <c r="B763" s="3" t="s">
        <v>23</v>
      </c>
      <c r="C763" s="3" t="s">
        <v>17</v>
      </c>
      <c r="D763" s="3" t="s">
        <v>25</v>
      </c>
      <c r="E763" s="4">
        <v>8</v>
      </c>
      <c r="F763" s="4">
        <v>1528</v>
      </c>
      <c r="G763" s="3" t="s">
        <v>19</v>
      </c>
      <c r="H763">
        <v>12224</v>
      </c>
      <c r="I763">
        <v>8605.6119479999998</v>
      </c>
      <c r="J763">
        <v>3618.3880519999998</v>
      </c>
      <c r="K763" s="5">
        <f>IF(Table1[[#This Row],[Revenue]]=0, 0, Table1[[#This Row],[Profit]]/Table1[[#This Row],[Revenue]])</f>
        <v>0.29600687598167535</v>
      </c>
    </row>
    <row r="764" spans="1:11" x14ac:dyDescent="0.35">
      <c r="A764" s="1">
        <v>45457</v>
      </c>
      <c r="B764" s="3" t="s">
        <v>23</v>
      </c>
      <c r="C764" s="3" t="s">
        <v>17</v>
      </c>
      <c r="D764" s="3" t="s">
        <v>18</v>
      </c>
      <c r="E764" s="4">
        <v>7</v>
      </c>
      <c r="F764" s="4">
        <v>1039</v>
      </c>
      <c r="G764" s="3" t="s">
        <v>19</v>
      </c>
      <c r="H764">
        <v>7273</v>
      </c>
      <c r="I764">
        <v>5059.5070420000002</v>
      </c>
      <c r="J764">
        <v>2213.4929579999998</v>
      </c>
      <c r="K764" s="5">
        <f>IF(Table1[[#This Row],[Revenue]]=0, 0, Table1[[#This Row],[Profit]]/Table1[[#This Row],[Revenue]])</f>
        <v>0.30434386882991887</v>
      </c>
    </row>
    <row r="765" spans="1:11" x14ac:dyDescent="0.35">
      <c r="A765" s="1">
        <v>45626</v>
      </c>
      <c r="B765" s="3" t="s">
        <v>23</v>
      </c>
      <c r="C765" s="3" t="s">
        <v>28</v>
      </c>
      <c r="D765" s="3" t="s">
        <v>15</v>
      </c>
      <c r="E765" s="4">
        <v>8</v>
      </c>
      <c r="F765" s="4">
        <v>1759</v>
      </c>
      <c r="G765" s="3" t="s">
        <v>16</v>
      </c>
      <c r="H765">
        <v>14072</v>
      </c>
      <c r="I765">
        <v>12079.716560000001</v>
      </c>
      <c r="J765">
        <v>1992.2834419999999</v>
      </c>
      <c r="K765" s="5">
        <f>IF(Table1[[#This Row],[Revenue]]=0, 0, Table1[[#This Row],[Profit]]/Table1[[#This Row],[Revenue]])</f>
        <v>0.14157784550881181</v>
      </c>
    </row>
    <row r="766" spans="1:11" x14ac:dyDescent="0.35">
      <c r="A766" s="1">
        <v>45321</v>
      </c>
      <c r="B766" s="3" t="s">
        <v>23</v>
      </c>
      <c r="C766" s="3" t="s">
        <v>14</v>
      </c>
      <c r="D766" s="3" t="s">
        <v>12</v>
      </c>
      <c r="E766" s="4">
        <v>1</v>
      </c>
      <c r="F766" s="4">
        <v>1654</v>
      </c>
      <c r="G766" s="3" t="s">
        <v>16</v>
      </c>
      <c r="H766">
        <v>1654</v>
      </c>
      <c r="I766">
        <v>1090.0188479999999</v>
      </c>
      <c r="J766">
        <v>563.98115170000005</v>
      </c>
      <c r="K766" s="5">
        <f>IF(Table1[[#This Row],[Revenue]]=0, 0, Table1[[#This Row],[Profit]]/Table1[[#This Row],[Revenue]])</f>
        <v>0.34098014008464334</v>
      </c>
    </row>
    <row r="767" spans="1:11" x14ac:dyDescent="0.35">
      <c r="A767" s="1">
        <v>45538</v>
      </c>
      <c r="B767" s="3" t="s">
        <v>20</v>
      </c>
      <c r="C767" s="3" t="s">
        <v>11</v>
      </c>
      <c r="D767" s="3" t="s">
        <v>25</v>
      </c>
      <c r="E767" s="4">
        <v>2</v>
      </c>
      <c r="F767" s="4">
        <v>1066</v>
      </c>
      <c r="G767" s="3" t="s">
        <v>13</v>
      </c>
      <c r="H767">
        <v>2132</v>
      </c>
      <c r="I767">
        <v>1381.8031639999999</v>
      </c>
      <c r="J767">
        <v>750.19683559999999</v>
      </c>
      <c r="K767" s="5">
        <f>IF(Table1[[#This Row],[Revenue]]=0, 0, Table1[[#This Row],[Profit]]/Table1[[#This Row],[Revenue]])</f>
        <v>0.35187468836772984</v>
      </c>
    </row>
    <row r="768" spans="1:11" x14ac:dyDescent="0.35">
      <c r="A768" s="1">
        <v>45397</v>
      </c>
      <c r="B768" s="3" t="s">
        <v>23</v>
      </c>
      <c r="C768" s="3" t="s">
        <v>17</v>
      </c>
      <c r="D768" s="3" t="s">
        <v>18</v>
      </c>
      <c r="E768" s="4">
        <v>18</v>
      </c>
      <c r="F768" s="4">
        <v>1737</v>
      </c>
      <c r="G768" s="3" t="s">
        <v>19</v>
      </c>
      <c r="H768">
        <v>31266</v>
      </c>
      <c r="I768">
        <v>20759.171969999999</v>
      </c>
      <c r="J768">
        <v>10506.828030000001</v>
      </c>
      <c r="K768" s="5">
        <f>IF(Table1[[#This Row],[Revenue]]=0, 0, Table1[[#This Row],[Profit]]/Table1[[#This Row],[Revenue]])</f>
        <v>0.3360464411821148</v>
      </c>
    </row>
    <row r="769" spans="1:11" x14ac:dyDescent="0.35">
      <c r="A769" s="1">
        <v>45342</v>
      </c>
      <c r="B769" s="3" t="s">
        <v>23</v>
      </c>
      <c r="C769" s="3" t="s">
        <v>14</v>
      </c>
      <c r="D769" s="3" t="s">
        <v>25</v>
      </c>
      <c r="E769" s="4">
        <v>15</v>
      </c>
      <c r="F769" s="4">
        <v>1200</v>
      </c>
      <c r="G769" s="3" t="s">
        <v>16</v>
      </c>
      <c r="H769">
        <v>18000</v>
      </c>
      <c r="I769">
        <v>14175.12176</v>
      </c>
      <c r="J769">
        <v>3824.8782430000001</v>
      </c>
      <c r="K769" s="5">
        <f>IF(Table1[[#This Row],[Revenue]]=0, 0, Table1[[#This Row],[Profit]]/Table1[[#This Row],[Revenue]])</f>
        <v>0.21249323572222223</v>
      </c>
    </row>
    <row r="770" spans="1:11" x14ac:dyDescent="0.35">
      <c r="A770" s="1">
        <v>45372</v>
      </c>
      <c r="B770" s="3" t="s">
        <v>27</v>
      </c>
      <c r="C770" s="3" t="s">
        <v>24</v>
      </c>
      <c r="D770" s="3" t="s">
        <v>25</v>
      </c>
      <c r="E770" s="4">
        <v>1</v>
      </c>
      <c r="F770" s="4">
        <v>328</v>
      </c>
      <c r="G770" s="3" t="s">
        <v>19</v>
      </c>
      <c r="H770">
        <v>328</v>
      </c>
      <c r="I770">
        <v>276.59559619999999</v>
      </c>
      <c r="J770">
        <v>51.404403809999998</v>
      </c>
      <c r="K770" s="5">
        <f>IF(Table1[[#This Row],[Revenue]]=0, 0, Table1[[#This Row],[Profit]]/Table1[[#This Row],[Revenue]])</f>
        <v>0.15672074332317074</v>
      </c>
    </row>
    <row r="771" spans="1:11" x14ac:dyDescent="0.35">
      <c r="A771" s="1">
        <v>45424</v>
      </c>
      <c r="B771" s="3" t="s">
        <v>10</v>
      </c>
      <c r="C771" s="3" t="s">
        <v>14</v>
      </c>
      <c r="D771" s="3" t="s">
        <v>30</v>
      </c>
      <c r="E771" s="4">
        <v>5</v>
      </c>
      <c r="F771" s="4">
        <v>1061</v>
      </c>
      <c r="G771" s="3" t="s">
        <v>16</v>
      </c>
      <c r="H771">
        <v>5305</v>
      </c>
      <c r="I771">
        <v>3709.7525909999999</v>
      </c>
      <c r="J771">
        <v>1595.2474090000001</v>
      </c>
      <c r="K771" s="5">
        <f>IF(Table1[[#This Row],[Revenue]]=0, 0, Table1[[#This Row],[Profit]]/Table1[[#This Row],[Revenue]])</f>
        <v>0.30070639189443921</v>
      </c>
    </row>
    <row r="772" spans="1:11" x14ac:dyDescent="0.35">
      <c r="A772" s="1">
        <v>45576</v>
      </c>
      <c r="B772" s="3" t="s">
        <v>10</v>
      </c>
      <c r="C772" s="3" t="s">
        <v>22</v>
      </c>
      <c r="D772" s="3" t="s">
        <v>29</v>
      </c>
      <c r="E772" s="4">
        <v>2</v>
      </c>
      <c r="F772" s="4">
        <v>1420</v>
      </c>
      <c r="G772" s="3" t="s">
        <v>13</v>
      </c>
      <c r="H772">
        <v>2840</v>
      </c>
      <c r="I772">
        <v>1851.789622</v>
      </c>
      <c r="J772">
        <v>988.21037760000002</v>
      </c>
      <c r="K772" s="5">
        <f>IF(Table1[[#This Row],[Revenue]]=0, 0, Table1[[#This Row],[Profit]]/Table1[[#This Row],[Revenue]])</f>
        <v>0.34796140056338026</v>
      </c>
    </row>
    <row r="773" spans="1:11" x14ac:dyDescent="0.35">
      <c r="A773" s="1">
        <v>45429</v>
      </c>
      <c r="B773" s="3" t="s">
        <v>27</v>
      </c>
      <c r="C773" s="3" t="s">
        <v>28</v>
      </c>
      <c r="D773" s="3" t="s">
        <v>44</v>
      </c>
      <c r="E773" s="4">
        <v>3</v>
      </c>
      <c r="F773" s="4">
        <v>1633</v>
      </c>
      <c r="G773" s="3" t="s">
        <v>16</v>
      </c>
      <c r="H773">
        <v>4899</v>
      </c>
      <c r="I773">
        <v>3246.852668</v>
      </c>
      <c r="J773">
        <v>1652.147332</v>
      </c>
      <c r="K773" s="5">
        <f>IF(Table1[[#This Row],[Revenue]]=0, 0, Table1[[#This Row],[Profit]]/Table1[[#This Row],[Revenue]])</f>
        <v>0.33724174974484589</v>
      </c>
    </row>
    <row r="774" spans="1:11" x14ac:dyDescent="0.35">
      <c r="A774" s="1">
        <v>45475</v>
      </c>
      <c r="B774" s="3" t="s">
        <v>27</v>
      </c>
      <c r="C774" s="3" t="s">
        <v>24</v>
      </c>
      <c r="D774" s="3" t="s">
        <v>29</v>
      </c>
      <c r="E774" s="4">
        <v>19</v>
      </c>
      <c r="F774" s="4">
        <v>814</v>
      </c>
      <c r="G774" s="3" t="s">
        <v>19</v>
      </c>
      <c r="H774">
        <v>15466</v>
      </c>
      <c r="I774">
        <v>12152.4889</v>
      </c>
      <c r="J774">
        <v>3313.5111040000002</v>
      </c>
      <c r="K774" s="5">
        <f>IF(Table1[[#This Row],[Revenue]]=0, 0, Table1[[#This Row],[Profit]]/Table1[[#This Row],[Revenue]])</f>
        <v>0.21424486641665591</v>
      </c>
    </row>
    <row r="775" spans="1:11" x14ac:dyDescent="0.35">
      <c r="A775" s="1">
        <v>45621</v>
      </c>
      <c r="B775" s="3" t="s">
        <v>20</v>
      </c>
      <c r="C775" s="3" t="s">
        <v>26</v>
      </c>
      <c r="D775" s="3" t="s">
        <v>25</v>
      </c>
      <c r="E775" s="4">
        <v>18</v>
      </c>
      <c r="F775" s="4">
        <v>1083</v>
      </c>
      <c r="G775" s="3" t="s">
        <v>19</v>
      </c>
      <c r="H775">
        <v>19494</v>
      </c>
      <c r="I775">
        <v>13135.263209999999</v>
      </c>
      <c r="J775">
        <v>6358.7367899999999</v>
      </c>
      <c r="K775" s="5">
        <f>IF(Table1[[#This Row],[Revenue]]=0, 0, Table1[[#This Row],[Profit]]/Table1[[#This Row],[Revenue]])</f>
        <v>0.32618943213296397</v>
      </c>
    </row>
    <row r="776" spans="1:11" x14ac:dyDescent="0.35">
      <c r="A776" s="1">
        <v>45564</v>
      </c>
      <c r="B776" s="3" t="s">
        <v>20</v>
      </c>
      <c r="C776" s="3" t="s">
        <v>31</v>
      </c>
      <c r="D776" s="3" t="s">
        <v>32</v>
      </c>
      <c r="E776" s="4">
        <v>18</v>
      </c>
      <c r="F776" s="4">
        <v>672</v>
      </c>
      <c r="G776" s="3" t="s">
        <v>19</v>
      </c>
      <c r="H776">
        <v>12096</v>
      </c>
      <c r="I776">
        <v>10441.074500000001</v>
      </c>
      <c r="J776">
        <v>1654.9254960000001</v>
      </c>
      <c r="K776" s="5">
        <f>IF(Table1[[#This Row],[Revenue]]=0, 0, Table1[[#This Row],[Profit]]/Table1[[#This Row],[Revenue]])</f>
        <v>0.13681593055555555</v>
      </c>
    </row>
    <row r="777" spans="1:11" x14ac:dyDescent="0.35">
      <c r="A777" s="1">
        <v>45631</v>
      </c>
      <c r="B777" s="3" t="s">
        <v>20</v>
      </c>
      <c r="C777" s="3" t="s">
        <v>28</v>
      </c>
      <c r="D777" s="3" t="s">
        <v>12</v>
      </c>
      <c r="E777" s="4">
        <v>14</v>
      </c>
      <c r="F777" s="4">
        <v>1661</v>
      </c>
      <c r="G777" s="3" t="s">
        <v>16</v>
      </c>
      <c r="H777">
        <v>23254</v>
      </c>
      <c r="I777">
        <v>14677.166869999999</v>
      </c>
      <c r="J777">
        <v>8576.8331330000001</v>
      </c>
      <c r="K777" s="5">
        <f>IF(Table1[[#This Row],[Revenue]]=0, 0, Table1[[#This Row],[Profit]]/Table1[[#This Row],[Revenue]])</f>
        <v>0.36883259366130561</v>
      </c>
    </row>
    <row r="778" spans="1:11" x14ac:dyDescent="0.35">
      <c r="A778" s="1">
        <v>45360</v>
      </c>
      <c r="B778" s="3" t="s">
        <v>27</v>
      </c>
      <c r="C778" s="3" t="s">
        <v>26</v>
      </c>
      <c r="D778" s="3" t="s">
        <v>15</v>
      </c>
      <c r="E778" s="4">
        <v>8</v>
      </c>
      <c r="F778" s="4">
        <v>1706</v>
      </c>
      <c r="G778" s="3" t="s">
        <v>19</v>
      </c>
      <c r="H778">
        <v>13648</v>
      </c>
      <c r="I778">
        <v>8321.3297259999999</v>
      </c>
      <c r="J778">
        <v>5326.6702740000001</v>
      </c>
      <c r="K778" s="5">
        <f>IF(Table1[[#This Row],[Revenue]]=0, 0, Table1[[#This Row],[Profit]]/Table1[[#This Row],[Revenue]])</f>
        <v>0.39028943977139507</v>
      </c>
    </row>
    <row r="779" spans="1:11" x14ac:dyDescent="0.35">
      <c r="A779" s="1">
        <v>45325</v>
      </c>
      <c r="B779" s="3" t="s">
        <v>27</v>
      </c>
      <c r="C779" s="3" t="s">
        <v>31</v>
      </c>
      <c r="D779" s="3" t="s">
        <v>25</v>
      </c>
      <c r="E779" s="4">
        <v>12</v>
      </c>
      <c r="F779" s="4">
        <v>714</v>
      </c>
      <c r="G779" s="3" t="s">
        <v>19</v>
      </c>
      <c r="H779">
        <v>8568</v>
      </c>
      <c r="I779">
        <v>5367.9674429999995</v>
      </c>
      <c r="J779">
        <v>3200.032557</v>
      </c>
      <c r="K779" s="5">
        <f>IF(Table1[[#This Row],[Revenue]]=0, 0, Table1[[#This Row],[Profit]]/Table1[[#This Row],[Revenue]])</f>
        <v>0.37348652626050421</v>
      </c>
    </row>
    <row r="780" spans="1:11" x14ac:dyDescent="0.35">
      <c r="A780" s="1">
        <v>45553</v>
      </c>
      <c r="B780" s="3" t="s">
        <v>23</v>
      </c>
      <c r="C780" s="3" t="s">
        <v>22</v>
      </c>
      <c r="D780" s="3" t="s">
        <v>29</v>
      </c>
      <c r="E780" s="4">
        <v>10</v>
      </c>
      <c r="F780" s="4">
        <v>425</v>
      </c>
      <c r="G780" s="3" t="s">
        <v>13</v>
      </c>
      <c r="H780">
        <v>4250</v>
      </c>
      <c r="I780">
        <v>3628.194978</v>
      </c>
      <c r="J780">
        <v>621.80502149999995</v>
      </c>
      <c r="K780" s="5">
        <f>IF(Table1[[#This Row],[Revenue]]=0, 0, Table1[[#This Row],[Profit]]/Table1[[#This Row],[Revenue]])</f>
        <v>0.14630706388235293</v>
      </c>
    </row>
    <row r="781" spans="1:11" x14ac:dyDescent="0.35">
      <c r="A781" s="1">
        <v>45344</v>
      </c>
      <c r="B781" s="3" t="s">
        <v>20</v>
      </c>
      <c r="C781" s="3" t="s">
        <v>14</v>
      </c>
      <c r="D781" s="3" t="s">
        <v>29</v>
      </c>
      <c r="E781" s="4">
        <v>17</v>
      </c>
      <c r="F781" s="4">
        <v>1486</v>
      </c>
      <c r="G781" s="3" t="s">
        <v>16</v>
      </c>
      <c r="H781">
        <v>25262</v>
      </c>
      <c r="I781">
        <v>20092.608039999999</v>
      </c>
      <c r="J781">
        <v>5169.3919619999997</v>
      </c>
      <c r="K781" s="5">
        <f>IF(Table1[[#This Row],[Revenue]]=0, 0, Table1[[#This Row],[Profit]]/Table1[[#This Row],[Revenue]])</f>
        <v>0.20463114408993743</v>
      </c>
    </row>
    <row r="782" spans="1:11" x14ac:dyDescent="0.35">
      <c r="A782" s="1">
        <v>45496</v>
      </c>
      <c r="B782" s="3" t="s">
        <v>20</v>
      </c>
      <c r="C782" s="3" t="s">
        <v>17</v>
      </c>
      <c r="D782" s="3" t="s">
        <v>29</v>
      </c>
      <c r="E782" s="4">
        <v>11</v>
      </c>
      <c r="F782" s="4">
        <v>1792</v>
      </c>
      <c r="G782" s="3" t="s">
        <v>19</v>
      </c>
      <c r="H782">
        <v>19712</v>
      </c>
      <c r="I782">
        <v>17490.918659999999</v>
      </c>
      <c r="J782">
        <v>2221.081338</v>
      </c>
      <c r="K782" s="5">
        <f>IF(Table1[[#This Row],[Revenue]]=0, 0, Table1[[#This Row],[Profit]]/Table1[[#This Row],[Revenue]])</f>
        <v>0.11267661008522727</v>
      </c>
    </row>
    <row r="783" spans="1:11" x14ac:dyDescent="0.35">
      <c r="A783" s="1">
        <v>45526</v>
      </c>
      <c r="B783" s="3" t="s">
        <v>10</v>
      </c>
      <c r="C783" s="3" t="s">
        <v>11</v>
      </c>
      <c r="D783" s="3" t="s">
        <v>18</v>
      </c>
      <c r="E783" s="4">
        <v>4</v>
      </c>
      <c r="F783" s="4">
        <v>458</v>
      </c>
      <c r="G783" s="3" t="s">
        <v>13</v>
      </c>
      <c r="H783">
        <v>1832</v>
      </c>
      <c r="I783">
        <v>1216.0878990000001</v>
      </c>
      <c r="J783">
        <v>615.91210079999996</v>
      </c>
      <c r="K783" s="5">
        <f>IF(Table1[[#This Row],[Revenue]]=0, 0, Table1[[#This Row],[Profit]]/Table1[[#This Row],[Revenue]])</f>
        <v>0.33619656157205235</v>
      </c>
    </row>
    <row r="784" spans="1:11" x14ac:dyDescent="0.35">
      <c r="A784" s="1">
        <v>45334</v>
      </c>
      <c r="B784" s="3" t="s">
        <v>23</v>
      </c>
      <c r="C784" s="3" t="s">
        <v>24</v>
      </c>
      <c r="D784" s="3" t="s">
        <v>32</v>
      </c>
      <c r="E784" s="4">
        <v>1</v>
      </c>
      <c r="F784" s="4">
        <v>1829</v>
      </c>
      <c r="G784" s="3" t="s">
        <v>19</v>
      </c>
      <c r="H784">
        <v>1829</v>
      </c>
      <c r="I784">
        <v>1405.7558140000001</v>
      </c>
      <c r="J784">
        <v>423.2441862</v>
      </c>
      <c r="K784" s="5">
        <f>IF(Table1[[#This Row],[Revenue]]=0, 0, Table1[[#This Row],[Profit]]/Table1[[#This Row],[Revenue]])</f>
        <v>0.23140742821213778</v>
      </c>
    </row>
    <row r="785" spans="1:11" x14ac:dyDescent="0.35">
      <c r="A785" s="1">
        <v>45531</v>
      </c>
      <c r="B785" s="3" t="s">
        <v>20</v>
      </c>
      <c r="C785" s="3" t="s">
        <v>22</v>
      </c>
      <c r="D785" s="3" t="s">
        <v>18</v>
      </c>
      <c r="E785" s="4">
        <v>15</v>
      </c>
      <c r="F785" s="4">
        <v>1910</v>
      </c>
      <c r="G785" s="3" t="s">
        <v>13</v>
      </c>
      <c r="H785">
        <v>28650</v>
      </c>
      <c r="I785">
        <v>21812.63406</v>
      </c>
      <c r="J785">
        <v>6837.365941</v>
      </c>
      <c r="K785" s="5">
        <f>IF(Table1[[#This Row],[Revenue]]=0, 0, Table1[[#This Row],[Profit]]/Table1[[#This Row],[Revenue]])</f>
        <v>0.23865151626527051</v>
      </c>
    </row>
    <row r="786" spans="1:11" x14ac:dyDescent="0.35">
      <c r="A786" s="1">
        <v>45402</v>
      </c>
      <c r="B786" s="3" t="s">
        <v>20</v>
      </c>
      <c r="C786" s="3" t="s">
        <v>26</v>
      </c>
      <c r="D786" s="3" t="s">
        <v>15</v>
      </c>
      <c r="E786" s="4">
        <v>13</v>
      </c>
      <c r="F786" s="4">
        <v>423</v>
      </c>
      <c r="G786" s="3" t="s">
        <v>19</v>
      </c>
      <c r="H786">
        <v>5499</v>
      </c>
      <c r="I786">
        <v>4274.4122729999999</v>
      </c>
      <c r="J786">
        <v>1224.5877270000001</v>
      </c>
      <c r="K786" s="5">
        <f>IF(Table1[[#This Row],[Revenue]]=0, 0, Table1[[#This Row],[Profit]]/Table1[[#This Row],[Revenue]])</f>
        <v>0.22269280360065469</v>
      </c>
    </row>
    <row r="787" spans="1:11" x14ac:dyDescent="0.35">
      <c r="A787" s="1">
        <v>45540</v>
      </c>
      <c r="B787" s="3" t="s">
        <v>20</v>
      </c>
      <c r="C787" s="3" t="s">
        <v>11</v>
      </c>
      <c r="D787" s="3" t="s">
        <v>25</v>
      </c>
      <c r="E787" s="4">
        <v>8</v>
      </c>
      <c r="F787" s="4">
        <v>1821</v>
      </c>
      <c r="G787" s="3" t="s">
        <v>13</v>
      </c>
      <c r="H787">
        <v>14568</v>
      </c>
      <c r="I787">
        <v>10259.661990000001</v>
      </c>
      <c r="J787">
        <v>4308.3380070000003</v>
      </c>
      <c r="K787" s="5">
        <f>IF(Table1[[#This Row],[Revenue]]=0, 0, Table1[[#This Row],[Profit]]/Table1[[#This Row],[Revenue]])</f>
        <v>0.29573984122734764</v>
      </c>
    </row>
    <row r="788" spans="1:11" x14ac:dyDescent="0.35">
      <c r="A788" s="1">
        <v>45442</v>
      </c>
      <c r="B788" s="3" t="s">
        <v>10</v>
      </c>
      <c r="C788" s="3" t="s">
        <v>17</v>
      </c>
      <c r="D788" s="3" t="s">
        <v>29</v>
      </c>
      <c r="E788" s="4">
        <v>4</v>
      </c>
      <c r="F788" s="4">
        <v>1449</v>
      </c>
      <c r="G788" s="3" t="s">
        <v>19</v>
      </c>
      <c r="H788">
        <v>5796</v>
      </c>
      <c r="I788">
        <v>3487.853599</v>
      </c>
      <c r="J788">
        <v>2308.146401</v>
      </c>
      <c r="K788" s="5">
        <f>IF(Table1[[#This Row],[Revenue]]=0, 0, Table1[[#This Row],[Profit]]/Table1[[#This Row],[Revenue]])</f>
        <v>0.39823091804692889</v>
      </c>
    </row>
    <row r="789" spans="1:11" x14ac:dyDescent="0.35">
      <c r="A789" s="1">
        <v>45474</v>
      </c>
      <c r="B789" s="3" t="s">
        <v>10</v>
      </c>
      <c r="C789" s="3" t="s">
        <v>22</v>
      </c>
      <c r="D789" s="3" t="s">
        <v>32</v>
      </c>
      <c r="E789" s="4">
        <v>10</v>
      </c>
      <c r="F789" s="4">
        <v>1748</v>
      </c>
      <c r="G789" s="3" t="s">
        <v>13</v>
      </c>
      <c r="H789">
        <v>17480</v>
      </c>
      <c r="I789">
        <v>10671.70599</v>
      </c>
      <c r="J789">
        <v>6808.2940120000003</v>
      </c>
      <c r="K789" s="5">
        <f>IF(Table1[[#This Row],[Revenue]]=0, 0, Table1[[#This Row],[Profit]]/Table1[[#This Row],[Revenue]])</f>
        <v>0.38949050411899316</v>
      </c>
    </row>
    <row r="790" spans="1:11" x14ac:dyDescent="0.35">
      <c r="A790" s="1">
        <v>45627</v>
      </c>
      <c r="B790" s="3" t="s">
        <v>27</v>
      </c>
      <c r="C790" s="3" t="s">
        <v>11</v>
      </c>
      <c r="D790" s="3" t="s">
        <v>32</v>
      </c>
      <c r="E790" s="4">
        <v>19</v>
      </c>
      <c r="F790" s="4">
        <v>1948</v>
      </c>
      <c r="G790" s="3" t="s">
        <v>13</v>
      </c>
      <c r="H790">
        <v>37012</v>
      </c>
      <c r="I790">
        <v>29578.0635</v>
      </c>
      <c r="J790">
        <v>7433.9365029999999</v>
      </c>
      <c r="K790" s="5">
        <f>IF(Table1[[#This Row],[Revenue]]=0, 0, Table1[[#This Row],[Profit]]/Table1[[#This Row],[Revenue]])</f>
        <v>0.20085206157462443</v>
      </c>
    </row>
    <row r="791" spans="1:11" x14ac:dyDescent="0.35">
      <c r="A791" s="1">
        <v>45386</v>
      </c>
      <c r="B791" s="3" t="s">
        <v>23</v>
      </c>
      <c r="C791" s="3" t="s">
        <v>22</v>
      </c>
      <c r="D791" s="3" t="s">
        <v>21</v>
      </c>
      <c r="E791" s="4">
        <v>18</v>
      </c>
      <c r="F791" s="4">
        <v>264</v>
      </c>
      <c r="G791" s="3" t="s">
        <v>13</v>
      </c>
      <c r="H791">
        <v>4752</v>
      </c>
      <c r="I791">
        <v>3597.156673</v>
      </c>
      <c r="J791">
        <v>1154.843327</v>
      </c>
      <c r="K791" s="5">
        <f>IF(Table1[[#This Row],[Revenue]]=0, 0, Table1[[#This Row],[Profit]]/Table1[[#This Row],[Revenue]])</f>
        <v>0.24302258564814816</v>
      </c>
    </row>
    <row r="792" spans="1:11" x14ac:dyDescent="0.35">
      <c r="A792" s="1">
        <v>45299</v>
      </c>
      <c r="B792" s="3" t="s">
        <v>27</v>
      </c>
      <c r="C792" s="3" t="s">
        <v>14</v>
      </c>
      <c r="D792" s="3" t="s">
        <v>15</v>
      </c>
      <c r="E792" s="4">
        <v>5</v>
      </c>
      <c r="F792" s="4">
        <v>1696</v>
      </c>
      <c r="G792" s="3" t="s">
        <v>16</v>
      </c>
      <c r="H792">
        <v>8480</v>
      </c>
      <c r="I792">
        <v>7176.6526450000001</v>
      </c>
      <c r="J792">
        <v>1303.3473550000001</v>
      </c>
      <c r="K792" s="5">
        <f>IF(Table1[[#This Row],[Revenue]]=0, 0, Table1[[#This Row],[Profit]]/Table1[[#This Row],[Revenue]])</f>
        <v>0.15369662205188681</v>
      </c>
    </row>
    <row r="793" spans="1:11" x14ac:dyDescent="0.35">
      <c r="A793" s="1">
        <v>45651</v>
      </c>
      <c r="B793" s="3" t="s">
        <v>23</v>
      </c>
      <c r="C793" s="3" t="s">
        <v>22</v>
      </c>
      <c r="D793" s="3" t="s">
        <v>12</v>
      </c>
      <c r="E793" s="4">
        <v>19</v>
      </c>
      <c r="F793" s="4">
        <v>1727</v>
      </c>
      <c r="G793" s="3" t="s">
        <v>13</v>
      </c>
      <c r="H793">
        <v>32813</v>
      </c>
      <c r="I793">
        <v>22645.00461</v>
      </c>
      <c r="J793">
        <v>10167.99539</v>
      </c>
      <c r="K793" s="5">
        <f>IF(Table1[[#This Row],[Revenue]]=0, 0, Table1[[#This Row],[Profit]]/Table1[[#This Row],[Revenue]])</f>
        <v>0.30987704233078356</v>
      </c>
    </row>
    <row r="794" spans="1:11" x14ac:dyDescent="0.35">
      <c r="A794" s="1">
        <v>45475</v>
      </c>
      <c r="B794" s="3" t="s">
        <v>10</v>
      </c>
      <c r="C794" s="3" t="s">
        <v>17</v>
      </c>
      <c r="D794" s="3" t="s">
        <v>12</v>
      </c>
      <c r="E794" s="4">
        <v>16</v>
      </c>
      <c r="F794" s="4">
        <v>897</v>
      </c>
      <c r="G794" s="3" t="s">
        <v>19</v>
      </c>
      <c r="H794">
        <v>14352</v>
      </c>
      <c r="I794">
        <v>12122.297259999999</v>
      </c>
      <c r="J794">
        <v>2229.7027349999998</v>
      </c>
      <c r="K794" s="5">
        <f>IF(Table1[[#This Row],[Revenue]]=0, 0, Table1[[#This Row],[Profit]]/Table1[[#This Row],[Revenue]])</f>
        <v>0.15535832880434783</v>
      </c>
    </row>
    <row r="795" spans="1:11" x14ac:dyDescent="0.35">
      <c r="A795" s="1">
        <v>45572</v>
      </c>
      <c r="B795" s="3" t="s">
        <v>43</v>
      </c>
      <c r="C795" s="3" t="s">
        <v>28</v>
      </c>
      <c r="D795" s="3" t="s">
        <v>32</v>
      </c>
      <c r="E795" s="4">
        <v>1</v>
      </c>
      <c r="F795" s="4">
        <v>554</v>
      </c>
      <c r="G795" s="3" t="s">
        <v>16</v>
      </c>
      <c r="H795">
        <v>554</v>
      </c>
      <c r="I795">
        <v>403.11667290000003</v>
      </c>
      <c r="J795">
        <v>150.8833271</v>
      </c>
      <c r="K795" s="5">
        <f>IF(Table1[[#This Row],[Revenue]]=0, 0, Table1[[#This Row],[Profit]]/Table1[[#This Row],[Revenue]])</f>
        <v>0.27235257599277979</v>
      </c>
    </row>
    <row r="796" spans="1:11" x14ac:dyDescent="0.35">
      <c r="A796" s="1">
        <v>45486</v>
      </c>
      <c r="B796" s="3" t="s">
        <v>27</v>
      </c>
      <c r="C796" s="3" t="s">
        <v>31</v>
      </c>
      <c r="D796" s="3" t="s">
        <v>25</v>
      </c>
      <c r="E796" s="4">
        <v>12</v>
      </c>
      <c r="F796" s="4">
        <v>1276</v>
      </c>
      <c r="G796" s="3" t="s">
        <v>19</v>
      </c>
      <c r="H796">
        <v>15312</v>
      </c>
      <c r="I796">
        <v>9631.3937040000001</v>
      </c>
      <c r="J796">
        <v>5680.6062959999999</v>
      </c>
      <c r="K796" s="5">
        <f>IF(Table1[[#This Row],[Revenue]]=0, 0, Table1[[#This Row],[Profit]]/Table1[[#This Row],[Revenue]])</f>
        <v>0.37099048432601878</v>
      </c>
    </row>
    <row r="797" spans="1:11" x14ac:dyDescent="0.35">
      <c r="A797" s="1">
        <v>45643</v>
      </c>
      <c r="B797" s="3" t="s">
        <v>20</v>
      </c>
      <c r="C797" s="3" t="s">
        <v>11</v>
      </c>
      <c r="D797" s="3" t="s">
        <v>29</v>
      </c>
      <c r="E797" s="4">
        <v>2</v>
      </c>
      <c r="F797" s="4">
        <v>1860</v>
      </c>
      <c r="G797" s="3" t="s">
        <v>13</v>
      </c>
      <c r="H797">
        <v>3720</v>
      </c>
      <c r="I797">
        <v>3323.3493039999998</v>
      </c>
      <c r="J797">
        <v>396.6506961</v>
      </c>
      <c r="K797" s="5">
        <f>IF(Table1[[#This Row],[Revenue]]=0, 0, Table1[[#This Row],[Profit]]/Table1[[#This Row],[Revenue]])</f>
        <v>0.10662653120967742</v>
      </c>
    </row>
    <row r="798" spans="1:11" x14ac:dyDescent="0.35">
      <c r="A798" s="1">
        <v>45486</v>
      </c>
      <c r="B798" s="3" t="s">
        <v>27</v>
      </c>
      <c r="C798" s="3" t="s">
        <v>14</v>
      </c>
      <c r="D798" s="3" t="s">
        <v>29</v>
      </c>
      <c r="E798" s="4">
        <v>8</v>
      </c>
      <c r="F798" s="4">
        <v>1250</v>
      </c>
      <c r="G798" s="3" t="s">
        <v>16</v>
      </c>
      <c r="H798">
        <v>10000</v>
      </c>
      <c r="I798">
        <v>7535.8077869999997</v>
      </c>
      <c r="J798">
        <v>2464.1922129999998</v>
      </c>
      <c r="K798" s="5">
        <f>IF(Table1[[#This Row],[Revenue]]=0, 0, Table1[[#This Row],[Profit]]/Table1[[#This Row],[Revenue]])</f>
        <v>0.24641922129999999</v>
      </c>
    </row>
    <row r="799" spans="1:11" x14ac:dyDescent="0.35">
      <c r="A799" s="1">
        <v>45446</v>
      </c>
      <c r="B799" s="3" t="s">
        <v>10</v>
      </c>
      <c r="C799" s="3" t="s">
        <v>17</v>
      </c>
      <c r="D799" s="3" t="s">
        <v>32</v>
      </c>
      <c r="E799" s="4">
        <v>18</v>
      </c>
      <c r="F799" s="4">
        <v>292</v>
      </c>
      <c r="G799" s="3" t="s">
        <v>19</v>
      </c>
      <c r="H799">
        <v>5256</v>
      </c>
      <c r="I799">
        <v>4146.1617210000004</v>
      </c>
      <c r="J799">
        <v>1109.8382790000001</v>
      </c>
      <c r="K799" s="5">
        <f>IF(Table1[[#This Row],[Revenue]]=0, 0, Table1[[#This Row],[Profit]]/Table1[[#This Row],[Revenue]])</f>
        <v>0.21115644577625572</v>
      </c>
    </row>
    <row r="800" spans="1:11" x14ac:dyDescent="0.35">
      <c r="A800" s="1">
        <v>45384</v>
      </c>
      <c r="B800" s="3" t="s">
        <v>10</v>
      </c>
      <c r="C800" s="3" t="s">
        <v>22</v>
      </c>
      <c r="D800" s="3" t="s">
        <v>18</v>
      </c>
      <c r="E800" s="4">
        <v>16</v>
      </c>
      <c r="F800" s="4">
        <v>726</v>
      </c>
      <c r="G800" s="3" t="s">
        <v>13</v>
      </c>
      <c r="H800">
        <v>11616</v>
      </c>
      <c r="I800">
        <v>9307.1940350000004</v>
      </c>
      <c r="J800">
        <v>2308.805965</v>
      </c>
      <c r="K800" s="5">
        <f>IF(Table1[[#This Row],[Revenue]]=0, 0, Table1[[#This Row],[Profit]]/Table1[[#This Row],[Revenue]])</f>
        <v>0.19876084409435263</v>
      </c>
    </row>
    <row r="801" spans="1:11" x14ac:dyDescent="0.35">
      <c r="A801" s="1">
        <v>45451</v>
      </c>
      <c r="B801" s="3" t="s">
        <v>43</v>
      </c>
      <c r="C801" s="3" t="s">
        <v>14</v>
      </c>
      <c r="D801" s="3" t="s">
        <v>15</v>
      </c>
      <c r="E801" s="4">
        <v>5</v>
      </c>
      <c r="F801" s="4">
        <v>1897</v>
      </c>
      <c r="G801" s="3" t="s">
        <v>16</v>
      </c>
      <c r="H801">
        <v>9485</v>
      </c>
      <c r="I801">
        <v>6722.2440640000004</v>
      </c>
      <c r="J801">
        <v>2762.755936</v>
      </c>
      <c r="K801" s="5">
        <f>IF(Table1[[#This Row],[Revenue]]=0, 0, Table1[[#This Row],[Profit]]/Table1[[#This Row],[Revenue]])</f>
        <v>0.29127632430152872</v>
      </c>
    </row>
    <row r="802" spans="1:11" x14ac:dyDescent="0.35">
      <c r="A802" s="1">
        <v>45352</v>
      </c>
      <c r="B802" s="3" t="s">
        <v>27</v>
      </c>
      <c r="C802" s="3" t="s">
        <v>17</v>
      </c>
      <c r="D802" s="3" t="s">
        <v>29</v>
      </c>
      <c r="E802" s="4">
        <v>13</v>
      </c>
      <c r="F802" s="4">
        <v>629</v>
      </c>
      <c r="G802" s="3" t="s">
        <v>19</v>
      </c>
      <c r="H802">
        <v>8177</v>
      </c>
      <c r="I802">
        <v>6739.9617209999997</v>
      </c>
      <c r="J802">
        <v>1437.0382790000001</v>
      </c>
      <c r="K802" s="5">
        <f>IF(Table1[[#This Row],[Revenue]]=0, 0, Table1[[#This Row],[Profit]]/Table1[[#This Row],[Revenue]])</f>
        <v>0.17574150409685704</v>
      </c>
    </row>
    <row r="803" spans="1:11" x14ac:dyDescent="0.35">
      <c r="A803" s="1">
        <v>45413</v>
      </c>
      <c r="B803" s="3" t="s">
        <v>23</v>
      </c>
      <c r="C803" s="3" t="s">
        <v>28</v>
      </c>
      <c r="D803" s="3" t="s">
        <v>32</v>
      </c>
      <c r="E803" s="4">
        <v>19</v>
      </c>
      <c r="F803" s="4">
        <v>1133</v>
      </c>
      <c r="G803" s="3" t="s">
        <v>16</v>
      </c>
      <c r="H803">
        <v>21527</v>
      </c>
      <c r="I803">
        <v>18536.467860000001</v>
      </c>
      <c r="J803">
        <v>2990.5321399999998</v>
      </c>
      <c r="K803" s="5">
        <f>IF(Table1[[#This Row],[Revenue]]=0, 0, Table1[[#This Row],[Profit]]/Table1[[#This Row],[Revenue]])</f>
        <v>0.13892006038927857</v>
      </c>
    </row>
    <row r="804" spans="1:11" x14ac:dyDescent="0.35">
      <c r="A804" s="1">
        <v>45342</v>
      </c>
      <c r="B804" s="3" t="s">
        <v>27</v>
      </c>
      <c r="C804" s="3" t="s">
        <v>14</v>
      </c>
      <c r="D804" s="3" t="s">
        <v>29</v>
      </c>
      <c r="E804" s="4">
        <v>3</v>
      </c>
      <c r="F804" s="4">
        <v>191</v>
      </c>
      <c r="G804" s="3" t="s">
        <v>16</v>
      </c>
      <c r="H804">
        <v>573</v>
      </c>
      <c r="I804">
        <v>410.35744119999998</v>
      </c>
      <c r="J804">
        <v>162.64255879999999</v>
      </c>
      <c r="K804" s="5">
        <f>IF(Table1[[#This Row],[Revenue]]=0, 0, Table1[[#This Row],[Profit]]/Table1[[#This Row],[Revenue]])</f>
        <v>0.28384390715532282</v>
      </c>
    </row>
    <row r="805" spans="1:11" x14ac:dyDescent="0.35">
      <c r="A805" s="1">
        <v>45568</v>
      </c>
      <c r="B805" s="3" t="s">
        <v>23</v>
      </c>
      <c r="C805" s="3" t="s">
        <v>14</v>
      </c>
      <c r="D805" s="3" t="s">
        <v>12</v>
      </c>
      <c r="E805" s="4">
        <v>8</v>
      </c>
      <c r="F805" s="4">
        <v>238</v>
      </c>
      <c r="G805" s="3" t="s">
        <v>16</v>
      </c>
      <c r="H805">
        <v>1904</v>
      </c>
      <c r="I805">
        <v>1517.6789060000001</v>
      </c>
      <c r="J805">
        <v>386.32109359999998</v>
      </c>
      <c r="K805" s="5">
        <f>IF(Table1[[#This Row],[Revenue]]=0, 0, Table1[[#This Row],[Profit]]/Table1[[#This Row],[Revenue]])</f>
        <v>0.20289973403361344</v>
      </c>
    </row>
    <row r="806" spans="1:11" x14ac:dyDescent="0.35">
      <c r="A806" s="1">
        <v>45296</v>
      </c>
      <c r="B806" s="3" t="s">
        <v>27</v>
      </c>
      <c r="C806" s="3" t="s">
        <v>31</v>
      </c>
      <c r="D806" s="3" t="s">
        <v>32</v>
      </c>
      <c r="E806" s="4">
        <v>12</v>
      </c>
      <c r="F806" s="4">
        <v>580</v>
      </c>
      <c r="G806" s="3" t="s">
        <v>19</v>
      </c>
      <c r="H806">
        <v>6960</v>
      </c>
      <c r="I806">
        <v>5756.8745440000002</v>
      </c>
      <c r="J806">
        <v>1203.125456</v>
      </c>
      <c r="K806" s="5">
        <f>IF(Table1[[#This Row],[Revenue]]=0, 0, Table1[[#This Row],[Profit]]/Table1[[#This Row],[Revenue]])</f>
        <v>0.17286285287356321</v>
      </c>
    </row>
    <row r="807" spans="1:11" x14ac:dyDescent="0.35">
      <c r="A807" s="1">
        <v>45383</v>
      </c>
      <c r="B807" s="3" t="s">
        <v>27</v>
      </c>
      <c r="C807" s="3" t="s">
        <v>24</v>
      </c>
      <c r="D807" s="3" t="s">
        <v>15</v>
      </c>
      <c r="E807" s="4">
        <v>2</v>
      </c>
      <c r="F807" s="4">
        <v>548</v>
      </c>
      <c r="G807" s="3" t="s">
        <v>19</v>
      </c>
      <c r="H807">
        <v>1096</v>
      </c>
      <c r="I807">
        <v>720.11339520000001</v>
      </c>
      <c r="J807">
        <v>375.88660479999999</v>
      </c>
      <c r="K807" s="5">
        <f>IF(Table1[[#This Row],[Revenue]]=0, 0, Table1[[#This Row],[Profit]]/Table1[[#This Row],[Revenue]])</f>
        <v>0.34296223065693432</v>
      </c>
    </row>
    <row r="808" spans="1:11" x14ac:dyDescent="0.35">
      <c r="A808" s="1">
        <v>45461</v>
      </c>
      <c r="B808" s="3" t="s">
        <v>10</v>
      </c>
      <c r="C808" s="3" t="s">
        <v>11</v>
      </c>
      <c r="D808" s="3" t="s">
        <v>32</v>
      </c>
      <c r="E808" s="4">
        <v>11</v>
      </c>
      <c r="F808" s="4">
        <v>1456</v>
      </c>
      <c r="G808" s="3" t="s">
        <v>13</v>
      </c>
      <c r="H808">
        <v>16016</v>
      </c>
      <c r="I808">
        <v>11207.657670000001</v>
      </c>
      <c r="J808">
        <v>4808.3423339999999</v>
      </c>
      <c r="K808" s="5">
        <f>IF(Table1[[#This Row],[Revenue]]=0, 0, Table1[[#This Row],[Profit]]/Table1[[#This Row],[Revenue]])</f>
        <v>0.30022117470029969</v>
      </c>
    </row>
    <row r="809" spans="1:11" x14ac:dyDescent="0.35">
      <c r="A809" s="1">
        <v>45313</v>
      </c>
      <c r="B809" s="3" t="s">
        <v>20</v>
      </c>
      <c r="C809" s="3" t="s">
        <v>26</v>
      </c>
      <c r="D809" s="3" t="s">
        <v>32</v>
      </c>
      <c r="E809" s="4">
        <v>18</v>
      </c>
      <c r="F809" s="4">
        <v>439</v>
      </c>
      <c r="G809" s="3" t="s">
        <v>19</v>
      </c>
      <c r="H809">
        <v>7902</v>
      </c>
      <c r="I809">
        <v>6168.7953850000004</v>
      </c>
      <c r="J809">
        <v>1733.2046150000001</v>
      </c>
      <c r="K809" s="5">
        <f>IF(Table1[[#This Row],[Revenue]]=0, 0, Table1[[#This Row],[Profit]]/Table1[[#This Row],[Revenue]])</f>
        <v>0.21933746076942548</v>
      </c>
    </row>
    <row r="810" spans="1:11" x14ac:dyDescent="0.35">
      <c r="A810" s="1">
        <v>45617</v>
      </c>
      <c r="B810" s="3" t="s">
        <v>23</v>
      </c>
      <c r="C810" s="3" t="s">
        <v>11</v>
      </c>
      <c r="D810" s="3" t="s">
        <v>32</v>
      </c>
      <c r="E810" s="4">
        <v>13</v>
      </c>
      <c r="F810" s="4">
        <v>1175</v>
      </c>
      <c r="G810" s="3" t="s">
        <v>13</v>
      </c>
      <c r="H810">
        <v>15275</v>
      </c>
      <c r="I810">
        <v>12835.296990000001</v>
      </c>
      <c r="J810">
        <v>2439.7030089999998</v>
      </c>
      <c r="K810" s="5">
        <f>IF(Table1[[#This Row],[Revenue]]=0, 0, Table1[[#This Row],[Profit]]/Table1[[#This Row],[Revenue]])</f>
        <v>0.15971869126022911</v>
      </c>
    </row>
    <row r="811" spans="1:11" x14ac:dyDescent="0.35">
      <c r="A811" s="1">
        <v>45292</v>
      </c>
      <c r="B811" s="3" t="s">
        <v>20</v>
      </c>
      <c r="C811" s="3" t="s">
        <v>31</v>
      </c>
      <c r="D811" s="3" t="s">
        <v>25</v>
      </c>
      <c r="E811" s="4">
        <v>5</v>
      </c>
      <c r="F811" s="4">
        <v>1830</v>
      </c>
      <c r="G811" s="3" t="s">
        <v>19</v>
      </c>
      <c r="H811">
        <v>9150</v>
      </c>
      <c r="I811">
        <v>7166.7521120000001</v>
      </c>
      <c r="J811">
        <v>1983.2478880000001</v>
      </c>
      <c r="K811" s="5">
        <f>IF(Table1[[#This Row],[Revenue]]=0, 0, Table1[[#This Row],[Profit]]/Table1[[#This Row],[Revenue]])</f>
        <v>0.21674840306010931</v>
      </c>
    </row>
    <row r="812" spans="1:11" x14ac:dyDescent="0.35">
      <c r="A812" s="1">
        <v>45424</v>
      </c>
      <c r="B812" s="3" t="s">
        <v>27</v>
      </c>
      <c r="C812" s="3" t="s">
        <v>22</v>
      </c>
      <c r="D812" s="3" t="s">
        <v>12</v>
      </c>
      <c r="E812" s="4">
        <v>12</v>
      </c>
      <c r="F812" s="4">
        <v>565</v>
      </c>
      <c r="G812" s="3" t="s">
        <v>13</v>
      </c>
      <c r="H812">
        <v>6780</v>
      </c>
      <c r="I812">
        <v>4433.6803120000004</v>
      </c>
      <c r="J812">
        <v>2346.319688</v>
      </c>
      <c r="K812" s="5">
        <f>IF(Table1[[#This Row],[Revenue]]=0, 0, Table1[[#This Row],[Profit]]/Table1[[#This Row],[Revenue]])</f>
        <v>0.34606485073746313</v>
      </c>
    </row>
    <row r="813" spans="1:11" x14ac:dyDescent="0.35">
      <c r="A813" s="1">
        <v>45524</v>
      </c>
      <c r="B813" s="3" t="s">
        <v>27</v>
      </c>
      <c r="C813" s="3" t="s">
        <v>11</v>
      </c>
      <c r="D813" s="3" t="s">
        <v>15</v>
      </c>
      <c r="E813" s="4">
        <v>2</v>
      </c>
      <c r="F813" s="4">
        <v>817</v>
      </c>
      <c r="G813" s="3" t="s">
        <v>13</v>
      </c>
      <c r="H813">
        <v>1634</v>
      </c>
      <c r="I813">
        <v>1248.229834</v>
      </c>
      <c r="J813">
        <v>385.77016570000001</v>
      </c>
      <c r="K813" s="5">
        <f>IF(Table1[[#This Row],[Revenue]]=0, 0, Table1[[#This Row],[Profit]]/Table1[[#This Row],[Revenue]])</f>
        <v>0.23608945269277845</v>
      </c>
    </row>
    <row r="814" spans="1:11" x14ac:dyDescent="0.35">
      <c r="A814" s="1">
        <v>45303</v>
      </c>
      <c r="B814" s="3" t="s">
        <v>10</v>
      </c>
      <c r="C814" s="3" t="s">
        <v>11</v>
      </c>
      <c r="D814" s="3" t="s">
        <v>25</v>
      </c>
      <c r="E814" s="4">
        <v>5</v>
      </c>
      <c r="F814" s="4">
        <v>898</v>
      </c>
      <c r="G814" s="3" t="s">
        <v>13</v>
      </c>
      <c r="H814">
        <v>4490</v>
      </c>
      <c r="I814">
        <v>3818.6562979999999</v>
      </c>
      <c r="J814">
        <v>671.34370190000004</v>
      </c>
      <c r="K814" s="5">
        <f>IF(Table1[[#This Row],[Revenue]]=0, 0, Table1[[#This Row],[Profit]]/Table1[[#This Row],[Revenue]])</f>
        <v>0.14951975543429846</v>
      </c>
    </row>
    <row r="815" spans="1:11" x14ac:dyDescent="0.35">
      <c r="A815" s="1">
        <v>45637</v>
      </c>
      <c r="B815" s="3" t="s">
        <v>10</v>
      </c>
      <c r="C815" s="3" t="s">
        <v>17</v>
      </c>
      <c r="D815" s="3" t="s">
        <v>32</v>
      </c>
      <c r="E815" s="4">
        <v>7</v>
      </c>
      <c r="F815" s="4">
        <v>574</v>
      </c>
      <c r="G815" s="3" t="s">
        <v>19</v>
      </c>
      <c r="H815">
        <v>4018</v>
      </c>
      <c r="I815">
        <v>2775.7044689999998</v>
      </c>
      <c r="J815">
        <v>1242.295531</v>
      </c>
      <c r="K815" s="5">
        <f>IF(Table1[[#This Row],[Revenue]]=0, 0, Table1[[#This Row],[Profit]]/Table1[[#This Row],[Revenue]])</f>
        <v>0.30918256122448978</v>
      </c>
    </row>
    <row r="816" spans="1:11" x14ac:dyDescent="0.35">
      <c r="A816" s="1">
        <v>45337</v>
      </c>
      <c r="B816" s="3" t="s">
        <v>20</v>
      </c>
      <c r="C816" s="3" t="s">
        <v>22</v>
      </c>
      <c r="D816" s="3" t="s">
        <v>15</v>
      </c>
      <c r="E816" s="4">
        <v>12</v>
      </c>
      <c r="F816" s="4">
        <v>500</v>
      </c>
      <c r="G816" s="3" t="s">
        <v>13</v>
      </c>
      <c r="H816">
        <v>6000</v>
      </c>
      <c r="I816">
        <v>5098.772704</v>
      </c>
      <c r="J816">
        <v>901.22729589999994</v>
      </c>
      <c r="K816" s="5">
        <f>IF(Table1[[#This Row],[Revenue]]=0, 0, Table1[[#This Row],[Profit]]/Table1[[#This Row],[Revenue]])</f>
        <v>0.15020454931666666</v>
      </c>
    </row>
    <row r="817" spans="1:11" x14ac:dyDescent="0.35">
      <c r="A817" s="1">
        <v>45325</v>
      </c>
      <c r="B817" s="3" t="s">
        <v>23</v>
      </c>
      <c r="C817" s="3" t="s">
        <v>26</v>
      </c>
      <c r="D817" s="3" t="s">
        <v>21</v>
      </c>
      <c r="E817" s="4">
        <v>16</v>
      </c>
      <c r="F817" s="4">
        <v>1562</v>
      </c>
      <c r="G817" s="3" t="s">
        <v>19</v>
      </c>
      <c r="H817">
        <v>24992</v>
      </c>
      <c r="I817">
        <v>20877.991529999999</v>
      </c>
      <c r="J817">
        <v>4114.008468</v>
      </c>
      <c r="K817" s="5">
        <f>IF(Table1[[#This Row],[Revenue]]=0, 0, Table1[[#This Row],[Profit]]/Table1[[#This Row],[Revenue]])</f>
        <v>0.16461301488476313</v>
      </c>
    </row>
    <row r="818" spans="1:11" x14ac:dyDescent="0.35">
      <c r="A818" s="1">
        <v>45369</v>
      </c>
      <c r="B818" s="3" t="s">
        <v>20</v>
      </c>
      <c r="C818" s="3" t="s">
        <v>24</v>
      </c>
      <c r="D818" s="3" t="s">
        <v>15</v>
      </c>
      <c r="E818" s="4">
        <v>8</v>
      </c>
      <c r="F818" s="4">
        <v>704</v>
      </c>
      <c r="G818" s="3" t="s">
        <v>19</v>
      </c>
      <c r="H818">
        <v>5632</v>
      </c>
      <c r="I818">
        <v>3415.9332690000001</v>
      </c>
      <c r="J818">
        <v>2216.0667309999999</v>
      </c>
      <c r="K818" s="5">
        <f>IF(Table1[[#This Row],[Revenue]]=0, 0, Table1[[#This Row],[Profit]]/Table1[[#This Row],[Revenue]])</f>
        <v>0.39347775763494314</v>
      </c>
    </row>
    <row r="819" spans="1:11" x14ac:dyDescent="0.35">
      <c r="A819" s="1">
        <v>45509</v>
      </c>
      <c r="B819" s="3" t="s">
        <v>20</v>
      </c>
      <c r="C819" s="3" t="s">
        <v>14</v>
      </c>
      <c r="D819" s="3" t="s">
        <v>29</v>
      </c>
      <c r="E819" s="4">
        <v>9</v>
      </c>
      <c r="F819" s="4">
        <v>1031</v>
      </c>
      <c r="G819" s="3" t="s">
        <v>16</v>
      </c>
      <c r="H819">
        <v>9279</v>
      </c>
      <c r="I819">
        <v>6233.9703659999996</v>
      </c>
      <c r="J819">
        <v>3045.029634</v>
      </c>
      <c r="K819" s="5">
        <f>IF(Table1[[#This Row],[Revenue]]=0, 0, Table1[[#This Row],[Profit]]/Table1[[#This Row],[Revenue]])</f>
        <v>0.32816355577109602</v>
      </c>
    </row>
    <row r="820" spans="1:11" x14ac:dyDescent="0.35">
      <c r="A820" s="1">
        <v>45592</v>
      </c>
      <c r="B820" s="3" t="s">
        <v>20</v>
      </c>
      <c r="C820" s="3" t="s">
        <v>28</v>
      </c>
      <c r="D820" s="3" t="s">
        <v>25</v>
      </c>
      <c r="E820" s="4">
        <v>15</v>
      </c>
      <c r="F820" s="4">
        <v>1096</v>
      </c>
      <c r="G820" s="3" t="s">
        <v>16</v>
      </c>
      <c r="H820">
        <v>16440</v>
      </c>
      <c r="I820">
        <v>12541.791950000001</v>
      </c>
      <c r="J820">
        <v>3898.2080550000001</v>
      </c>
      <c r="K820" s="5">
        <f>IF(Table1[[#This Row],[Revenue]]=0, 0, Table1[[#This Row],[Profit]]/Table1[[#This Row],[Revenue]])</f>
        <v>0.23711727828467152</v>
      </c>
    </row>
    <row r="821" spans="1:11" x14ac:dyDescent="0.35">
      <c r="A821" s="1">
        <v>45364</v>
      </c>
      <c r="B821" s="3" t="s">
        <v>20</v>
      </c>
      <c r="C821" s="3" t="s">
        <v>31</v>
      </c>
      <c r="D821" s="3" t="s">
        <v>15</v>
      </c>
      <c r="E821" s="4">
        <v>5</v>
      </c>
      <c r="F821" s="4">
        <v>1021</v>
      </c>
      <c r="G821" s="3" t="s">
        <v>19</v>
      </c>
      <c r="H821">
        <v>5105</v>
      </c>
      <c r="I821">
        <v>4162.0310019999997</v>
      </c>
      <c r="J821">
        <v>942.96899780000001</v>
      </c>
      <c r="K821" s="5">
        <f>IF(Table1[[#This Row],[Revenue]]=0, 0, Table1[[#This Row],[Profit]]/Table1[[#This Row],[Revenue]])</f>
        <v>0.18471478899118512</v>
      </c>
    </row>
    <row r="822" spans="1:11" x14ac:dyDescent="0.35">
      <c r="A822" s="1">
        <v>45573</v>
      </c>
      <c r="B822" s="3" t="s">
        <v>27</v>
      </c>
      <c r="C822" s="3" t="s">
        <v>17</v>
      </c>
      <c r="D822" s="3" t="s">
        <v>12</v>
      </c>
      <c r="E822" s="4">
        <v>13</v>
      </c>
      <c r="F822" s="4">
        <v>920</v>
      </c>
      <c r="G822" s="3" t="s">
        <v>19</v>
      </c>
      <c r="H822">
        <v>11960</v>
      </c>
      <c r="I822">
        <v>10335.34353</v>
      </c>
      <c r="J822">
        <v>1624.6564739999999</v>
      </c>
      <c r="K822" s="5">
        <f>IF(Table1[[#This Row],[Revenue]]=0, 0, Table1[[#This Row],[Profit]]/Table1[[#This Row],[Revenue]])</f>
        <v>0.13584084230769231</v>
      </c>
    </row>
    <row r="823" spans="1:11" x14ac:dyDescent="0.35">
      <c r="A823" s="1">
        <v>45540</v>
      </c>
      <c r="B823" s="3" t="s">
        <v>23</v>
      </c>
      <c r="C823" s="3" t="s">
        <v>31</v>
      </c>
      <c r="D823" s="3" t="s">
        <v>21</v>
      </c>
      <c r="E823" s="4">
        <v>5</v>
      </c>
      <c r="F823" s="4">
        <v>756</v>
      </c>
      <c r="G823" s="3" t="s">
        <v>19</v>
      </c>
      <c r="H823">
        <v>3780</v>
      </c>
      <c r="I823">
        <v>2994.9419889999999</v>
      </c>
      <c r="J823">
        <v>785.05801110000004</v>
      </c>
      <c r="K823" s="5">
        <f>IF(Table1[[#This Row],[Revenue]]=0, 0, Table1[[#This Row],[Profit]]/Table1[[#This Row],[Revenue]])</f>
        <v>0.20768730452380954</v>
      </c>
    </row>
    <row r="824" spans="1:11" x14ac:dyDescent="0.35">
      <c r="A824" s="1">
        <v>45338</v>
      </c>
      <c r="B824" s="3" t="s">
        <v>27</v>
      </c>
      <c r="C824" s="3" t="s">
        <v>26</v>
      </c>
      <c r="D824" s="3" t="s">
        <v>30</v>
      </c>
      <c r="E824" s="4">
        <v>11</v>
      </c>
      <c r="F824" s="4">
        <v>697</v>
      </c>
      <c r="G824" s="3" t="s">
        <v>19</v>
      </c>
      <c r="H824">
        <v>7667</v>
      </c>
      <c r="I824">
        <v>5475.0296280000002</v>
      </c>
      <c r="J824">
        <v>2191.9703720000002</v>
      </c>
      <c r="K824" s="5">
        <f>IF(Table1[[#This Row],[Revenue]]=0, 0, Table1[[#This Row],[Profit]]/Table1[[#This Row],[Revenue]])</f>
        <v>0.28589674866310161</v>
      </c>
    </row>
    <row r="825" spans="1:11" x14ac:dyDescent="0.35">
      <c r="A825" s="1">
        <v>45412</v>
      </c>
      <c r="B825" s="3" t="s">
        <v>23</v>
      </c>
      <c r="C825" s="3" t="s">
        <v>14</v>
      </c>
      <c r="D825" s="3" t="s">
        <v>32</v>
      </c>
      <c r="E825" s="4">
        <v>10</v>
      </c>
      <c r="F825" s="4">
        <v>1632</v>
      </c>
      <c r="G825" s="3" t="s">
        <v>16</v>
      </c>
      <c r="H825">
        <v>16320</v>
      </c>
      <c r="I825">
        <v>10695.934800000001</v>
      </c>
      <c r="J825">
        <v>5624.0651959999996</v>
      </c>
      <c r="K825" s="5">
        <f>IF(Table1[[#This Row],[Revenue]]=0, 0, Table1[[#This Row],[Profit]]/Table1[[#This Row],[Revenue]])</f>
        <v>0.34461183799019607</v>
      </c>
    </row>
    <row r="826" spans="1:11" x14ac:dyDescent="0.35">
      <c r="A826" s="1">
        <v>45505</v>
      </c>
      <c r="B826" s="3" t="s">
        <v>10</v>
      </c>
      <c r="C826" s="3" t="s">
        <v>26</v>
      </c>
      <c r="D826" s="3" t="s">
        <v>15</v>
      </c>
      <c r="E826" s="4">
        <v>13</v>
      </c>
      <c r="F826" s="4">
        <v>1276</v>
      </c>
      <c r="G826" s="3" t="s">
        <v>19</v>
      </c>
      <c r="H826">
        <v>16588</v>
      </c>
      <c r="I826">
        <v>13735.04243</v>
      </c>
      <c r="J826">
        <v>2852.9575690000001</v>
      </c>
      <c r="K826" s="5">
        <f>IF(Table1[[#This Row],[Revenue]]=0, 0, Table1[[#This Row],[Profit]]/Table1[[#This Row],[Revenue]])</f>
        <v>0.17198924336870028</v>
      </c>
    </row>
    <row r="827" spans="1:11" x14ac:dyDescent="0.35">
      <c r="A827" s="1">
        <v>45530</v>
      </c>
      <c r="B827" s="3" t="s">
        <v>20</v>
      </c>
      <c r="C827" s="3" t="s">
        <v>11</v>
      </c>
      <c r="D827" s="3" t="s">
        <v>32</v>
      </c>
      <c r="E827" s="4">
        <v>9</v>
      </c>
      <c r="F827" s="4">
        <v>613</v>
      </c>
      <c r="G827" s="3" t="s">
        <v>13</v>
      </c>
      <c r="H827">
        <v>5517</v>
      </c>
      <c r="I827">
        <v>3652.4441590000001</v>
      </c>
      <c r="J827">
        <v>1864.5558410000001</v>
      </c>
      <c r="K827" s="5">
        <f>IF(Table1[[#This Row],[Revenue]]=0, 0, Table1[[#This Row],[Profit]]/Table1[[#This Row],[Revenue]])</f>
        <v>0.33796553217328262</v>
      </c>
    </row>
    <row r="828" spans="1:11" x14ac:dyDescent="0.35">
      <c r="A828" s="1">
        <v>45347</v>
      </c>
      <c r="B828" s="3" t="s">
        <v>27</v>
      </c>
      <c r="C828" s="3" t="s">
        <v>28</v>
      </c>
      <c r="D828" s="3" t="s">
        <v>18</v>
      </c>
      <c r="E828" s="4">
        <v>14</v>
      </c>
      <c r="F828" s="4">
        <v>1626</v>
      </c>
      <c r="G828" s="3" t="s">
        <v>16</v>
      </c>
      <c r="H828">
        <v>22764</v>
      </c>
      <c r="I828">
        <v>18407.634119999999</v>
      </c>
      <c r="J828">
        <v>4356.3658830000004</v>
      </c>
      <c r="K828" s="5">
        <f>IF(Table1[[#This Row],[Revenue]]=0, 0, Table1[[#This Row],[Profit]]/Table1[[#This Row],[Revenue]])</f>
        <v>0.19137084356879286</v>
      </c>
    </row>
    <row r="829" spans="1:11" x14ac:dyDescent="0.35">
      <c r="A829" s="1">
        <v>45641</v>
      </c>
      <c r="B829" s="3" t="s">
        <v>23</v>
      </c>
      <c r="C829" s="3" t="s">
        <v>26</v>
      </c>
      <c r="D829" s="3" t="s">
        <v>29</v>
      </c>
      <c r="E829" s="4">
        <v>18</v>
      </c>
      <c r="F829" s="4">
        <v>1977</v>
      </c>
      <c r="G829" s="3" t="s">
        <v>19</v>
      </c>
      <c r="H829">
        <v>35586</v>
      </c>
      <c r="I829">
        <v>23286.178980000001</v>
      </c>
      <c r="J829">
        <v>12299.821019999999</v>
      </c>
      <c r="K829" s="5">
        <f>IF(Table1[[#This Row],[Revenue]]=0, 0, Table1[[#This Row],[Profit]]/Table1[[#This Row],[Revenue]])</f>
        <v>0.34563651492159836</v>
      </c>
    </row>
    <row r="830" spans="1:11" x14ac:dyDescent="0.35">
      <c r="A830" s="1">
        <v>45398</v>
      </c>
      <c r="B830" s="3" t="s">
        <v>10</v>
      </c>
      <c r="C830" s="3" t="s">
        <v>31</v>
      </c>
      <c r="D830" s="3" t="s">
        <v>25</v>
      </c>
      <c r="E830" s="4">
        <v>15</v>
      </c>
      <c r="F830" s="4">
        <v>1895</v>
      </c>
      <c r="G830" s="3" t="s">
        <v>19</v>
      </c>
      <c r="H830">
        <v>28425</v>
      </c>
      <c r="I830">
        <v>17831.46171</v>
      </c>
      <c r="J830">
        <v>10593.53829</v>
      </c>
      <c r="K830" s="5">
        <f>IF(Table1[[#This Row],[Revenue]]=0, 0, Table1[[#This Row],[Profit]]/Table1[[#This Row],[Revenue]])</f>
        <v>0.37268384485488126</v>
      </c>
    </row>
    <row r="831" spans="1:11" x14ac:dyDescent="0.35">
      <c r="A831" s="1">
        <v>45610</v>
      </c>
      <c r="B831" s="3" t="s">
        <v>10</v>
      </c>
      <c r="C831" s="3" t="s">
        <v>22</v>
      </c>
      <c r="D831" s="3" t="s">
        <v>29</v>
      </c>
      <c r="E831" s="4">
        <v>10</v>
      </c>
      <c r="F831" s="4">
        <v>1799</v>
      </c>
      <c r="G831" s="3" t="s">
        <v>13</v>
      </c>
      <c r="H831">
        <v>17990</v>
      </c>
      <c r="I831">
        <v>12149.187910000001</v>
      </c>
      <c r="J831">
        <v>5840.8120929999995</v>
      </c>
      <c r="K831" s="5">
        <f>IF(Table1[[#This Row],[Revenue]]=0, 0, Table1[[#This Row],[Profit]]/Table1[[#This Row],[Revenue]])</f>
        <v>0.32466993290717061</v>
      </c>
    </row>
    <row r="832" spans="1:11" x14ac:dyDescent="0.35">
      <c r="A832" s="1">
        <v>45339</v>
      </c>
      <c r="B832" s="3" t="s">
        <v>20</v>
      </c>
      <c r="C832" s="3" t="s">
        <v>22</v>
      </c>
      <c r="D832" s="3" t="s">
        <v>18</v>
      </c>
      <c r="E832" s="4">
        <v>7</v>
      </c>
      <c r="F832" s="4">
        <v>1129</v>
      </c>
      <c r="G832" s="3" t="s">
        <v>13</v>
      </c>
      <c r="H832">
        <v>7903</v>
      </c>
      <c r="I832">
        <v>5417.3400760000004</v>
      </c>
      <c r="J832">
        <v>2485.659924</v>
      </c>
      <c r="K832" s="5">
        <f>IF(Table1[[#This Row],[Revenue]]=0, 0, Table1[[#This Row],[Profit]]/Table1[[#This Row],[Revenue]])</f>
        <v>0.31452105833227889</v>
      </c>
    </row>
    <row r="833" spans="1:11" x14ac:dyDescent="0.35">
      <c r="A833" s="1">
        <v>45352</v>
      </c>
      <c r="B833" s="3" t="s">
        <v>23</v>
      </c>
      <c r="C833" s="3" t="s">
        <v>11</v>
      </c>
      <c r="D833" s="3" t="s">
        <v>18</v>
      </c>
      <c r="E833" s="4">
        <v>8</v>
      </c>
      <c r="F833" s="4">
        <v>599</v>
      </c>
      <c r="G833" s="3" t="s">
        <v>13</v>
      </c>
      <c r="H833">
        <v>4792</v>
      </c>
      <c r="I833">
        <v>3805.6278520000001</v>
      </c>
      <c r="J833">
        <v>986.37214830000005</v>
      </c>
      <c r="K833" s="5">
        <f>IF(Table1[[#This Row],[Revenue]]=0, 0, Table1[[#This Row],[Profit]]/Table1[[#This Row],[Revenue]])</f>
        <v>0.20583725966193658</v>
      </c>
    </row>
    <row r="834" spans="1:11" x14ac:dyDescent="0.35">
      <c r="A834" s="1">
        <v>45628</v>
      </c>
      <c r="B834" s="3" t="s">
        <v>27</v>
      </c>
      <c r="C834" s="3" t="s">
        <v>43</v>
      </c>
      <c r="D834" s="3" t="s">
        <v>25</v>
      </c>
      <c r="E834" s="4">
        <v>3</v>
      </c>
      <c r="F834" s="4">
        <v>1784</v>
      </c>
      <c r="G834" s="3" t="s">
        <v>19</v>
      </c>
      <c r="H834">
        <v>5352</v>
      </c>
      <c r="I834">
        <v>3469.5143349999998</v>
      </c>
      <c r="J834">
        <v>1882.4856649999999</v>
      </c>
      <c r="K834" s="5">
        <f>IF(Table1[[#This Row],[Revenue]]=0, 0, Table1[[#This Row],[Profit]]/Table1[[#This Row],[Revenue]])</f>
        <v>0.35173498972346784</v>
      </c>
    </row>
    <row r="835" spans="1:11" x14ac:dyDescent="0.35">
      <c r="A835" s="1">
        <v>45317</v>
      </c>
      <c r="B835" s="3" t="s">
        <v>20</v>
      </c>
      <c r="C835" s="3" t="s">
        <v>31</v>
      </c>
      <c r="D835" s="3" t="s">
        <v>15</v>
      </c>
      <c r="E835" s="4">
        <v>15</v>
      </c>
      <c r="F835" s="4">
        <v>816</v>
      </c>
      <c r="G835" s="3" t="s">
        <v>19</v>
      </c>
      <c r="H835">
        <v>12240</v>
      </c>
      <c r="I835">
        <v>10760.08698</v>
      </c>
      <c r="J835">
        <v>1479.913016</v>
      </c>
      <c r="K835" s="5">
        <f>IF(Table1[[#This Row],[Revenue]]=0, 0, Table1[[#This Row],[Profit]]/Table1[[#This Row],[Revenue]])</f>
        <v>0.12090792614379085</v>
      </c>
    </row>
    <row r="836" spans="1:11" x14ac:dyDescent="0.35">
      <c r="A836" s="1">
        <v>45583</v>
      </c>
      <c r="B836" s="3" t="s">
        <v>27</v>
      </c>
      <c r="C836" s="3" t="s">
        <v>31</v>
      </c>
      <c r="D836" s="3" t="s">
        <v>18</v>
      </c>
      <c r="E836" s="4">
        <v>16</v>
      </c>
      <c r="F836" s="4">
        <v>1241</v>
      </c>
      <c r="G836" s="3" t="s">
        <v>19</v>
      </c>
      <c r="H836">
        <v>19856</v>
      </c>
      <c r="I836">
        <v>15215.821690000001</v>
      </c>
      <c r="J836">
        <v>4640.1783070000001</v>
      </c>
      <c r="K836" s="5">
        <f>IF(Table1[[#This Row],[Revenue]]=0, 0, Table1[[#This Row],[Profit]]/Table1[[#This Row],[Revenue]])</f>
        <v>0.23369149410757453</v>
      </c>
    </row>
    <row r="837" spans="1:11" x14ac:dyDescent="0.35">
      <c r="A837" s="1">
        <v>45548</v>
      </c>
      <c r="B837" s="3" t="s">
        <v>10</v>
      </c>
      <c r="C837" s="3" t="s">
        <v>26</v>
      </c>
      <c r="D837" s="3" t="s">
        <v>30</v>
      </c>
      <c r="E837" s="4">
        <v>4</v>
      </c>
      <c r="F837" s="4">
        <v>1608</v>
      </c>
      <c r="G837" s="3" t="s">
        <v>19</v>
      </c>
      <c r="H837">
        <v>6432</v>
      </c>
      <c r="I837">
        <v>4806.5018680000003</v>
      </c>
      <c r="J837">
        <v>1625.4981319999999</v>
      </c>
      <c r="K837" s="5">
        <f>IF(Table1[[#This Row],[Revenue]]=0, 0, Table1[[#This Row],[Profit]]/Table1[[#This Row],[Revenue]])</f>
        <v>0.25272048072139303</v>
      </c>
    </row>
    <row r="838" spans="1:11" x14ac:dyDescent="0.35">
      <c r="A838" s="1">
        <v>45299</v>
      </c>
      <c r="B838" s="3" t="s">
        <v>27</v>
      </c>
      <c r="C838" s="3" t="s">
        <v>28</v>
      </c>
      <c r="D838" s="3" t="s">
        <v>32</v>
      </c>
      <c r="E838" s="4">
        <v>6</v>
      </c>
      <c r="F838" s="4">
        <v>700</v>
      </c>
      <c r="G838" s="3" t="s">
        <v>16</v>
      </c>
      <c r="H838">
        <v>4200</v>
      </c>
      <c r="I838">
        <v>3067.7150879999999</v>
      </c>
      <c r="J838">
        <v>1132.2849120000001</v>
      </c>
      <c r="K838" s="5">
        <f>IF(Table1[[#This Row],[Revenue]]=0, 0, Table1[[#This Row],[Profit]]/Table1[[#This Row],[Revenue]])</f>
        <v>0.26959164571428573</v>
      </c>
    </row>
    <row r="839" spans="1:11" x14ac:dyDescent="0.35">
      <c r="A839" s="1">
        <v>45404</v>
      </c>
      <c r="B839" s="3" t="s">
        <v>27</v>
      </c>
      <c r="C839" s="3" t="s">
        <v>31</v>
      </c>
      <c r="D839" s="3" t="s">
        <v>32</v>
      </c>
      <c r="E839" s="4">
        <v>1</v>
      </c>
      <c r="F839" s="4">
        <v>765</v>
      </c>
      <c r="G839" s="3" t="s">
        <v>19</v>
      </c>
      <c r="H839">
        <v>765</v>
      </c>
      <c r="I839">
        <v>589.03500910000002</v>
      </c>
      <c r="J839">
        <v>175.9649909</v>
      </c>
      <c r="K839" s="5">
        <f>IF(Table1[[#This Row],[Revenue]]=0, 0, Table1[[#This Row],[Profit]]/Table1[[#This Row],[Revenue]])</f>
        <v>0.23001959594771243</v>
      </c>
    </row>
    <row r="840" spans="1:11" x14ac:dyDescent="0.35">
      <c r="A840" s="1">
        <v>45646</v>
      </c>
      <c r="B840" s="3" t="s">
        <v>20</v>
      </c>
      <c r="C840" s="3" t="s">
        <v>17</v>
      </c>
      <c r="D840" s="3" t="s">
        <v>21</v>
      </c>
      <c r="E840" s="4">
        <v>4</v>
      </c>
      <c r="F840" s="4">
        <v>1802</v>
      </c>
      <c r="G840" s="3" t="s">
        <v>19</v>
      </c>
      <c r="H840">
        <v>7208</v>
      </c>
      <c r="I840">
        <v>4373.3393219999998</v>
      </c>
      <c r="J840">
        <v>2834.6606780000002</v>
      </c>
      <c r="K840" s="5">
        <f>IF(Table1[[#This Row],[Revenue]]=0, 0, Table1[[#This Row],[Profit]]/Table1[[#This Row],[Revenue]])</f>
        <v>0.39326590982241955</v>
      </c>
    </row>
    <row r="841" spans="1:11" x14ac:dyDescent="0.35">
      <c r="A841" s="1">
        <v>45544</v>
      </c>
      <c r="B841" s="3" t="s">
        <v>27</v>
      </c>
      <c r="C841" s="3" t="s">
        <v>24</v>
      </c>
      <c r="D841" s="3" t="s">
        <v>12</v>
      </c>
      <c r="E841" s="4">
        <v>11</v>
      </c>
      <c r="F841" s="4">
        <v>567</v>
      </c>
      <c r="G841" s="3" t="s">
        <v>19</v>
      </c>
      <c r="H841">
        <v>6237</v>
      </c>
      <c r="I841">
        <v>5594.7506149999999</v>
      </c>
      <c r="J841">
        <v>642.24938450000002</v>
      </c>
      <c r="K841" s="5">
        <f>IF(Table1[[#This Row],[Revenue]]=0, 0, Table1[[#This Row],[Profit]]/Table1[[#This Row],[Revenue]])</f>
        <v>0.1029740876222543</v>
      </c>
    </row>
    <row r="842" spans="1:11" x14ac:dyDescent="0.35">
      <c r="A842" s="1">
        <v>45471</v>
      </c>
      <c r="B842" s="3" t="s">
        <v>20</v>
      </c>
      <c r="C842" s="3" t="s">
        <v>26</v>
      </c>
      <c r="D842" s="3" t="s">
        <v>18</v>
      </c>
      <c r="E842" s="4">
        <v>12</v>
      </c>
      <c r="F842" s="4">
        <v>260</v>
      </c>
      <c r="G842" s="3" t="s">
        <v>19</v>
      </c>
      <c r="H842">
        <v>3120</v>
      </c>
      <c r="I842">
        <v>2393.8428159999999</v>
      </c>
      <c r="J842">
        <v>726.15718389999995</v>
      </c>
      <c r="K842" s="5">
        <f>IF(Table1[[#This Row],[Revenue]]=0, 0, Table1[[#This Row],[Profit]]/Table1[[#This Row],[Revenue]])</f>
        <v>0.23274268714743587</v>
      </c>
    </row>
    <row r="843" spans="1:11" x14ac:dyDescent="0.35">
      <c r="A843" s="1">
        <v>45498</v>
      </c>
      <c r="B843" s="3" t="s">
        <v>10</v>
      </c>
      <c r="C843" s="3" t="s">
        <v>17</v>
      </c>
      <c r="D843" s="3" t="s">
        <v>18</v>
      </c>
      <c r="E843" s="4">
        <v>5</v>
      </c>
      <c r="F843" s="4">
        <v>369</v>
      </c>
      <c r="G843" s="3" t="s">
        <v>19</v>
      </c>
      <c r="H843">
        <v>1845</v>
      </c>
      <c r="I843">
        <v>1126.4804340000001</v>
      </c>
      <c r="J843">
        <v>718.51956629999995</v>
      </c>
      <c r="K843" s="5">
        <f>IF(Table1[[#This Row],[Revenue]]=0, 0, Table1[[#This Row],[Profit]]/Table1[[#This Row],[Revenue]])</f>
        <v>0.38944149934959349</v>
      </c>
    </row>
    <row r="844" spans="1:11" x14ac:dyDescent="0.35">
      <c r="A844" s="1">
        <v>45594</v>
      </c>
      <c r="B844" s="3" t="s">
        <v>20</v>
      </c>
      <c r="C844" s="3" t="s">
        <v>11</v>
      </c>
      <c r="D844" s="3" t="s">
        <v>30</v>
      </c>
      <c r="E844" s="4">
        <v>16</v>
      </c>
      <c r="F844" s="4">
        <v>1179</v>
      </c>
      <c r="G844" s="3" t="s">
        <v>13</v>
      </c>
      <c r="H844">
        <v>18864</v>
      </c>
      <c r="I844">
        <v>14657.20126</v>
      </c>
      <c r="J844">
        <v>4206.7987389999998</v>
      </c>
      <c r="K844" s="5">
        <f>IF(Table1[[#This Row],[Revenue]]=0, 0, Table1[[#This Row],[Profit]]/Table1[[#This Row],[Revenue]])</f>
        <v>0.22300671856446139</v>
      </c>
    </row>
    <row r="845" spans="1:11" x14ac:dyDescent="0.35">
      <c r="A845" s="1">
        <v>45418</v>
      </c>
      <c r="B845" s="3" t="s">
        <v>20</v>
      </c>
      <c r="C845" s="3" t="s">
        <v>22</v>
      </c>
      <c r="D845" s="3" t="s">
        <v>29</v>
      </c>
      <c r="E845" s="4">
        <v>13</v>
      </c>
      <c r="F845" s="4">
        <v>327</v>
      </c>
      <c r="G845" s="3" t="s">
        <v>13</v>
      </c>
      <c r="H845">
        <v>4251</v>
      </c>
      <c r="I845">
        <v>3108.0065399999999</v>
      </c>
      <c r="J845">
        <v>1142.9934599999999</v>
      </c>
      <c r="K845" s="5">
        <f>IF(Table1[[#This Row],[Revenue]]=0, 0, Table1[[#This Row],[Profit]]/Table1[[#This Row],[Revenue]])</f>
        <v>0.26887637261820746</v>
      </c>
    </row>
    <row r="846" spans="1:11" x14ac:dyDescent="0.35">
      <c r="A846" s="1">
        <v>45347</v>
      </c>
      <c r="B846" s="3" t="s">
        <v>23</v>
      </c>
      <c r="C846" s="3" t="s">
        <v>11</v>
      </c>
      <c r="D846" s="3" t="s">
        <v>29</v>
      </c>
      <c r="E846" s="4">
        <v>13</v>
      </c>
      <c r="F846" s="4">
        <v>948</v>
      </c>
      <c r="G846" s="3" t="s">
        <v>13</v>
      </c>
      <c r="H846">
        <v>12324</v>
      </c>
      <c r="I846">
        <v>7483.272172</v>
      </c>
      <c r="J846">
        <v>4840.727828</v>
      </c>
      <c r="K846" s="5">
        <f>IF(Table1[[#This Row],[Revenue]]=0, 0, Table1[[#This Row],[Profit]]/Table1[[#This Row],[Revenue]])</f>
        <v>0.39278869100941255</v>
      </c>
    </row>
    <row r="847" spans="1:11" x14ac:dyDescent="0.35">
      <c r="A847" s="1">
        <v>45505</v>
      </c>
      <c r="B847" s="3" t="s">
        <v>27</v>
      </c>
      <c r="C847" s="3" t="s">
        <v>22</v>
      </c>
      <c r="D847" s="3" t="s">
        <v>32</v>
      </c>
      <c r="E847" s="4">
        <v>17</v>
      </c>
      <c r="F847" s="4">
        <v>248</v>
      </c>
      <c r="G847" s="3" t="s">
        <v>13</v>
      </c>
      <c r="H847">
        <v>4216</v>
      </c>
      <c r="I847">
        <v>3698.8174859999999</v>
      </c>
      <c r="J847">
        <v>517.18251429999998</v>
      </c>
      <c r="K847" s="5">
        <f>IF(Table1[[#This Row],[Revenue]]=0, 0, Table1[[#This Row],[Profit]]/Table1[[#This Row],[Revenue]])</f>
        <v>0.12267137435958254</v>
      </c>
    </row>
    <row r="848" spans="1:11" x14ac:dyDescent="0.35">
      <c r="A848" s="1">
        <v>45305</v>
      </c>
      <c r="B848" s="3" t="s">
        <v>10</v>
      </c>
      <c r="C848" s="3" t="s">
        <v>11</v>
      </c>
      <c r="D848" s="3" t="s">
        <v>32</v>
      </c>
      <c r="E848" s="4">
        <v>7</v>
      </c>
      <c r="F848" s="4">
        <v>1169</v>
      </c>
      <c r="G848" s="3" t="s">
        <v>13</v>
      </c>
      <c r="H848">
        <v>8183</v>
      </c>
      <c r="I848">
        <v>4935.7406140000003</v>
      </c>
      <c r="J848">
        <v>3247.2593860000002</v>
      </c>
      <c r="K848" s="5">
        <f>IF(Table1[[#This Row],[Revenue]]=0, 0, Table1[[#This Row],[Profit]]/Table1[[#This Row],[Revenue]])</f>
        <v>0.39682993840889652</v>
      </c>
    </row>
    <row r="849" spans="1:11" x14ac:dyDescent="0.35">
      <c r="A849" s="1">
        <v>45319</v>
      </c>
      <c r="B849" s="3" t="s">
        <v>20</v>
      </c>
      <c r="C849" s="3" t="s">
        <v>31</v>
      </c>
      <c r="D849" s="3" t="s">
        <v>15</v>
      </c>
      <c r="E849" s="4">
        <v>8</v>
      </c>
      <c r="F849" s="4">
        <v>1267</v>
      </c>
      <c r="G849" s="3" t="s">
        <v>19</v>
      </c>
      <c r="H849">
        <v>10136</v>
      </c>
      <c r="I849">
        <v>7838.792195</v>
      </c>
      <c r="J849">
        <v>2297.207805</v>
      </c>
      <c r="K849" s="5">
        <f>IF(Table1[[#This Row],[Revenue]]=0, 0, Table1[[#This Row],[Profit]]/Table1[[#This Row],[Revenue]])</f>
        <v>0.22663849694159433</v>
      </c>
    </row>
    <row r="850" spans="1:11" x14ac:dyDescent="0.35">
      <c r="A850" s="1">
        <v>45369</v>
      </c>
      <c r="B850" s="3" t="s">
        <v>10</v>
      </c>
      <c r="C850" s="3" t="s">
        <v>17</v>
      </c>
      <c r="D850" s="3" t="s">
        <v>25</v>
      </c>
      <c r="E850" s="4">
        <v>13</v>
      </c>
      <c r="F850" s="4">
        <v>1873</v>
      </c>
      <c r="G850" s="3" t="s">
        <v>19</v>
      </c>
      <c r="H850">
        <v>24349</v>
      </c>
      <c r="I850">
        <v>21634.992869999998</v>
      </c>
      <c r="J850">
        <v>2714.007126</v>
      </c>
      <c r="K850" s="5">
        <f>IF(Table1[[#This Row],[Revenue]]=0, 0, Table1[[#This Row],[Profit]]/Table1[[#This Row],[Revenue]])</f>
        <v>0.11146277571974209</v>
      </c>
    </row>
    <row r="851" spans="1:11" x14ac:dyDescent="0.35">
      <c r="A851" s="1">
        <v>45507</v>
      </c>
      <c r="B851" s="3" t="s">
        <v>23</v>
      </c>
      <c r="C851" s="3" t="s">
        <v>22</v>
      </c>
      <c r="D851" s="3" t="s">
        <v>12</v>
      </c>
      <c r="E851" s="4">
        <v>16</v>
      </c>
      <c r="F851" s="4">
        <v>1907</v>
      </c>
      <c r="G851" s="3" t="s">
        <v>13</v>
      </c>
      <c r="H851">
        <v>30512</v>
      </c>
      <c r="I851">
        <v>20482.13652</v>
      </c>
      <c r="J851">
        <v>10029.86348</v>
      </c>
      <c r="K851" s="5">
        <f>IF(Table1[[#This Row],[Revenue]]=0, 0, Table1[[#This Row],[Profit]]/Table1[[#This Row],[Revenue]])</f>
        <v>0.32871865102254849</v>
      </c>
    </row>
    <row r="852" spans="1:11" x14ac:dyDescent="0.35">
      <c r="A852" s="1">
        <v>45656</v>
      </c>
      <c r="B852" s="3" t="s">
        <v>27</v>
      </c>
      <c r="C852" s="3" t="s">
        <v>26</v>
      </c>
      <c r="D852" s="3" t="s">
        <v>30</v>
      </c>
      <c r="E852" s="4">
        <v>4</v>
      </c>
      <c r="F852" s="4">
        <v>731</v>
      </c>
      <c r="G852" s="3" t="s">
        <v>19</v>
      </c>
      <c r="H852">
        <v>2924</v>
      </c>
      <c r="I852">
        <v>1977.3658840000001</v>
      </c>
      <c r="J852">
        <v>946.63411610000003</v>
      </c>
      <c r="K852" s="5">
        <f>IF(Table1[[#This Row],[Revenue]]=0, 0, Table1[[#This Row],[Profit]]/Table1[[#This Row],[Revenue]])</f>
        <v>0.32374627773597814</v>
      </c>
    </row>
    <row r="853" spans="1:11" x14ac:dyDescent="0.35">
      <c r="A853" s="1">
        <v>45445</v>
      </c>
      <c r="B853" s="3" t="s">
        <v>20</v>
      </c>
      <c r="C853" s="3" t="s">
        <v>17</v>
      </c>
      <c r="D853" s="3" t="s">
        <v>25</v>
      </c>
      <c r="E853" s="4">
        <v>8</v>
      </c>
      <c r="F853" s="4">
        <v>1463</v>
      </c>
      <c r="G853" s="3" t="s">
        <v>19</v>
      </c>
      <c r="H853">
        <v>11704</v>
      </c>
      <c r="I853">
        <v>7023.8856889999997</v>
      </c>
      <c r="J853">
        <v>4680.1143110000003</v>
      </c>
      <c r="K853" s="5">
        <f>IF(Table1[[#This Row],[Revenue]]=0, 0, Table1[[#This Row],[Profit]]/Table1[[#This Row],[Revenue]])</f>
        <v>0.39987306143198909</v>
      </c>
    </row>
    <row r="854" spans="1:11" x14ac:dyDescent="0.35">
      <c r="A854" s="1">
        <v>45305</v>
      </c>
      <c r="B854" s="3" t="s">
        <v>27</v>
      </c>
      <c r="C854" s="3" t="s">
        <v>26</v>
      </c>
      <c r="D854" s="3" t="s">
        <v>25</v>
      </c>
      <c r="E854" s="4">
        <v>16</v>
      </c>
      <c r="F854" s="4">
        <v>512</v>
      </c>
      <c r="G854" s="3" t="s">
        <v>19</v>
      </c>
      <c r="H854">
        <v>8192</v>
      </c>
      <c r="I854">
        <v>5078.2646400000003</v>
      </c>
      <c r="J854">
        <v>3113.7353600000001</v>
      </c>
      <c r="K854" s="5">
        <f>IF(Table1[[#This Row],[Revenue]]=0, 0, Table1[[#This Row],[Profit]]/Table1[[#This Row],[Revenue]])</f>
        <v>0.38009464843750002</v>
      </c>
    </row>
    <row r="855" spans="1:11" x14ac:dyDescent="0.35">
      <c r="A855" s="1">
        <v>45478</v>
      </c>
      <c r="B855" s="3" t="s">
        <v>23</v>
      </c>
      <c r="C855" s="3" t="s">
        <v>17</v>
      </c>
      <c r="D855" s="3" t="s">
        <v>21</v>
      </c>
      <c r="E855" s="4">
        <v>10</v>
      </c>
      <c r="F855" s="4">
        <v>1855</v>
      </c>
      <c r="G855" s="3" t="s">
        <v>19</v>
      </c>
      <c r="H855">
        <v>18550</v>
      </c>
      <c r="I855">
        <v>11379.80401</v>
      </c>
      <c r="J855">
        <v>7170.1959900000002</v>
      </c>
      <c r="K855" s="5">
        <f>IF(Table1[[#This Row],[Revenue]]=0, 0, Table1[[#This Row],[Profit]]/Table1[[#This Row],[Revenue]])</f>
        <v>0.38653347654986525</v>
      </c>
    </row>
    <row r="856" spans="1:11" x14ac:dyDescent="0.35">
      <c r="A856" s="1">
        <v>45603</v>
      </c>
      <c r="B856" s="3" t="s">
        <v>23</v>
      </c>
      <c r="C856" s="3" t="s">
        <v>17</v>
      </c>
      <c r="D856" s="3" t="s">
        <v>25</v>
      </c>
      <c r="E856" s="4">
        <v>12</v>
      </c>
      <c r="F856" s="4">
        <v>619</v>
      </c>
      <c r="G856" s="3" t="s">
        <v>19</v>
      </c>
      <c r="H856">
        <v>7428</v>
      </c>
      <c r="I856">
        <v>6290.0072630000004</v>
      </c>
      <c r="J856">
        <v>1137.992737</v>
      </c>
      <c r="K856" s="5">
        <f>IF(Table1[[#This Row],[Revenue]]=0, 0, Table1[[#This Row],[Profit]]/Table1[[#This Row],[Revenue]])</f>
        <v>0.1532031148357566</v>
      </c>
    </row>
    <row r="857" spans="1:11" x14ac:dyDescent="0.35">
      <c r="A857" s="1">
        <v>45298</v>
      </c>
      <c r="B857" s="3" t="s">
        <v>10</v>
      </c>
      <c r="C857" s="3" t="s">
        <v>11</v>
      </c>
      <c r="D857" s="3" t="s">
        <v>21</v>
      </c>
      <c r="E857" s="4">
        <v>12</v>
      </c>
      <c r="F857" s="4">
        <v>1467</v>
      </c>
      <c r="G857" s="3" t="s">
        <v>13</v>
      </c>
      <c r="H857">
        <v>17604</v>
      </c>
      <c r="I857">
        <v>14981.37845</v>
      </c>
      <c r="J857">
        <v>2622.6215459999999</v>
      </c>
      <c r="K857" s="5">
        <f>IF(Table1[[#This Row],[Revenue]]=0, 0, Table1[[#This Row],[Profit]]/Table1[[#This Row],[Revenue]])</f>
        <v>0.14897872903885478</v>
      </c>
    </row>
    <row r="858" spans="1:11" x14ac:dyDescent="0.35">
      <c r="A858" s="1">
        <v>45294</v>
      </c>
      <c r="B858" s="3" t="s">
        <v>20</v>
      </c>
      <c r="C858" s="3" t="s">
        <v>22</v>
      </c>
      <c r="D858" s="3" t="s">
        <v>25</v>
      </c>
      <c r="E858" s="4">
        <v>5</v>
      </c>
      <c r="F858" s="4">
        <v>486</v>
      </c>
      <c r="G858" s="3" t="s">
        <v>13</v>
      </c>
      <c r="H858">
        <v>2430</v>
      </c>
      <c r="I858">
        <v>1987.764361</v>
      </c>
      <c r="J858">
        <v>442.23563860000002</v>
      </c>
      <c r="K858" s="5">
        <f>IF(Table1[[#This Row],[Revenue]]=0, 0, Table1[[#This Row],[Profit]]/Table1[[#This Row],[Revenue]])</f>
        <v>0.1819899747325103</v>
      </c>
    </row>
    <row r="859" spans="1:11" x14ac:dyDescent="0.35">
      <c r="A859" s="1">
        <v>45402</v>
      </c>
      <c r="B859" s="3" t="s">
        <v>10</v>
      </c>
      <c r="C859" s="3" t="s">
        <v>22</v>
      </c>
      <c r="D859" s="3" t="s">
        <v>30</v>
      </c>
      <c r="E859" s="4">
        <v>16</v>
      </c>
      <c r="F859" s="4">
        <v>1596</v>
      </c>
      <c r="G859" s="3" t="s">
        <v>13</v>
      </c>
      <c r="H859">
        <v>25536</v>
      </c>
      <c r="I859">
        <v>18023.90899</v>
      </c>
      <c r="J859">
        <v>7512.0910080000003</v>
      </c>
      <c r="K859" s="5">
        <f>IF(Table1[[#This Row],[Revenue]]=0, 0, Table1[[#This Row],[Profit]]/Table1[[#This Row],[Revenue]])</f>
        <v>0.29417649624060149</v>
      </c>
    </row>
    <row r="860" spans="1:11" x14ac:dyDescent="0.35">
      <c r="A860" s="1">
        <v>45529</v>
      </c>
      <c r="B860" s="3" t="s">
        <v>23</v>
      </c>
      <c r="C860" s="3" t="s">
        <v>28</v>
      </c>
      <c r="D860" s="3" t="s">
        <v>21</v>
      </c>
      <c r="E860" s="4">
        <v>1</v>
      </c>
      <c r="F860" s="4">
        <v>374</v>
      </c>
      <c r="G860" s="3" t="s">
        <v>16</v>
      </c>
      <c r="H860">
        <v>374</v>
      </c>
      <c r="I860">
        <v>316.54474929999998</v>
      </c>
      <c r="J860">
        <v>57.455250720000002</v>
      </c>
      <c r="K860" s="5">
        <f>IF(Table1[[#This Row],[Revenue]]=0, 0, Table1[[#This Row],[Profit]]/Table1[[#This Row],[Revenue]])</f>
        <v>0.15362366502673797</v>
      </c>
    </row>
    <row r="861" spans="1:11" x14ac:dyDescent="0.35">
      <c r="A861" s="1">
        <v>45654</v>
      </c>
      <c r="B861" s="3" t="s">
        <v>27</v>
      </c>
      <c r="C861" s="3" t="s">
        <v>17</v>
      </c>
      <c r="D861" s="3" t="s">
        <v>29</v>
      </c>
      <c r="E861" s="4">
        <v>9</v>
      </c>
      <c r="F861" s="4">
        <v>452</v>
      </c>
      <c r="G861" s="3" t="s">
        <v>19</v>
      </c>
      <c r="H861">
        <v>4068</v>
      </c>
      <c r="I861">
        <v>3099.540825</v>
      </c>
      <c r="J861">
        <v>968.45917550000001</v>
      </c>
      <c r="K861" s="5">
        <f>IF(Table1[[#This Row],[Revenue]]=0, 0, Table1[[#This Row],[Profit]]/Table1[[#This Row],[Revenue]])</f>
        <v>0.23806764392822025</v>
      </c>
    </row>
    <row r="862" spans="1:11" x14ac:dyDescent="0.35">
      <c r="A862" s="1">
        <v>45530</v>
      </c>
      <c r="B862" s="3" t="s">
        <v>10</v>
      </c>
      <c r="C862" s="3" t="s">
        <v>31</v>
      </c>
      <c r="D862" s="3" t="s">
        <v>21</v>
      </c>
      <c r="E862" s="4">
        <v>12</v>
      </c>
      <c r="F862" s="4">
        <v>1189</v>
      </c>
      <c r="G862" s="3" t="s">
        <v>19</v>
      </c>
      <c r="H862">
        <v>14268</v>
      </c>
      <c r="I862">
        <v>9863.3697069999998</v>
      </c>
      <c r="J862">
        <v>4404.6302930000002</v>
      </c>
      <c r="K862" s="5">
        <f>IF(Table1[[#This Row],[Revenue]]=0, 0, Table1[[#This Row],[Profit]]/Table1[[#This Row],[Revenue]])</f>
        <v>0.30870691708718812</v>
      </c>
    </row>
    <row r="863" spans="1:11" x14ac:dyDescent="0.35">
      <c r="A863" s="1">
        <v>45585</v>
      </c>
      <c r="B863" s="3" t="s">
        <v>27</v>
      </c>
      <c r="C863" s="3" t="s">
        <v>26</v>
      </c>
      <c r="D863" s="3" t="s">
        <v>30</v>
      </c>
      <c r="E863" s="4">
        <v>3</v>
      </c>
      <c r="F863" s="4">
        <v>697</v>
      </c>
      <c r="G863" s="3" t="s">
        <v>19</v>
      </c>
      <c r="H863">
        <v>2091</v>
      </c>
      <c r="I863">
        <v>1295.8561219999999</v>
      </c>
      <c r="J863">
        <v>795.14387799999997</v>
      </c>
      <c r="K863" s="5">
        <f>IF(Table1[[#This Row],[Revenue]]=0, 0, Table1[[#This Row],[Profit]]/Table1[[#This Row],[Revenue]])</f>
        <v>0.38026966905786702</v>
      </c>
    </row>
    <row r="864" spans="1:11" x14ac:dyDescent="0.35">
      <c r="A864" s="1">
        <v>45518</v>
      </c>
      <c r="B864" s="3" t="s">
        <v>10</v>
      </c>
      <c r="C864" s="3" t="s">
        <v>26</v>
      </c>
      <c r="D864" s="3" t="s">
        <v>30</v>
      </c>
      <c r="E864" s="4">
        <v>5</v>
      </c>
      <c r="F864" s="4">
        <v>1759</v>
      </c>
      <c r="G864" s="3" t="s">
        <v>19</v>
      </c>
      <c r="H864">
        <v>8795</v>
      </c>
      <c r="I864">
        <v>7770.1415699999998</v>
      </c>
      <c r="J864">
        <v>1024.85843</v>
      </c>
      <c r="K864" s="5">
        <f>IF(Table1[[#This Row],[Revenue]]=0, 0, Table1[[#This Row],[Profit]]/Table1[[#This Row],[Revenue]])</f>
        <v>0.11652739397384877</v>
      </c>
    </row>
    <row r="865" spans="1:11" x14ac:dyDescent="0.35">
      <c r="A865" s="1">
        <v>45306</v>
      </c>
      <c r="B865" s="3" t="s">
        <v>27</v>
      </c>
      <c r="C865" s="3" t="s">
        <v>11</v>
      </c>
      <c r="D865" s="3" t="s">
        <v>21</v>
      </c>
      <c r="E865" s="4">
        <v>2</v>
      </c>
      <c r="F865" s="4">
        <v>1325</v>
      </c>
      <c r="G865" s="3" t="s">
        <v>13</v>
      </c>
      <c r="H865">
        <v>2650</v>
      </c>
      <c r="I865">
        <v>2082.1975520000001</v>
      </c>
      <c r="J865">
        <v>567.80244819999996</v>
      </c>
      <c r="K865" s="5">
        <f>IF(Table1[[#This Row],[Revenue]]=0, 0, Table1[[#This Row],[Profit]]/Table1[[#This Row],[Revenue]])</f>
        <v>0.21426507479245283</v>
      </c>
    </row>
    <row r="866" spans="1:11" x14ac:dyDescent="0.35">
      <c r="A866" s="1">
        <v>45483</v>
      </c>
      <c r="B866" s="3" t="s">
        <v>20</v>
      </c>
      <c r="C866" s="3" t="s">
        <v>17</v>
      </c>
      <c r="D866" s="3" t="s">
        <v>12</v>
      </c>
      <c r="E866" s="4">
        <v>14</v>
      </c>
      <c r="F866" s="4">
        <v>1785</v>
      </c>
      <c r="G866" s="3" t="s">
        <v>19</v>
      </c>
      <c r="H866">
        <v>24990</v>
      </c>
      <c r="I866">
        <v>20476.062379999999</v>
      </c>
      <c r="J866">
        <v>4513.9376149999998</v>
      </c>
      <c r="K866" s="5">
        <f>IF(Table1[[#This Row],[Revenue]]=0, 0, Table1[[#This Row],[Profit]]/Table1[[#This Row],[Revenue]])</f>
        <v>0.18062975650260105</v>
      </c>
    </row>
    <row r="867" spans="1:11" x14ac:dyDescent="0.35">
      <c r="A867" s="1">
        <v>45410</v>
      </c>
      <c r="B867" s="3" t="s">
        <v>27</v>
      </c>
      <c r="C867" s="3" t="s">
        <v>26</v>
      </c>
      <c r="D867" s="3" t="s">
        <v>18</v>
      </c>
      <c r="E867" s="4">
        <v>2</v>
      </c>
      <c r="F867" s="4">
        <v>657</v>
      </c>
      <c r="G867" s="3" t="s">
        <v>19</v>
      </c>
      <c r="H867">
        <v>1314</v>
      </c>
      <c r="I867">
        <v>1055.1091650000001</v>
      </c>
      <c r="J867">
        <v>258.89083540000001</v>
      </c>
      <c r="K867" s="5">
        <f>IF(Table1[[#This Row],[Revenue]]=0, 0, Table1[[#This Row],[Profit]]/Table1[[#This Row],[Revenue]])</f>
        <v>0.19702498888888889</v>
      </c>
    </row>
    <row r="868" spans="1:11" x14ac:dyDescent="0.35">
      <c r="A868" s="1">
        <v>45319</v>
      </c>
      <c r="B868" s="3" t="s">
        <v>20</v>
      </c>
      <c r="C868" s="3" t="s">
        <v>26</v>
      </c>
      <c r="D868" s="3" t="s">
        <v>12</v>
      </c>
      <c r="E868" s="4">
        <v>13</v>
      </c>
      <c r="F868" s="4">
        <v>212</v>
      </c>
      <c r="G868" s="3" t="s">
        <v>19</v>
      </c>
      <c r="H868">
        <v>2756</v>
      </c>
      <c r="I868">
        <v>2205.6956869999999</v>
      </c>
      <c r="J868">
        <v>550.30431280000005</v>
      </c>
      <c r="K868" s="5">
        <f>IF(Table1[[#This Row],[Revenue]]=0, 0, Table1[[#This Row],[Profit]]/Table1[[#This Row],[Revenue]])</f>
        <v>0.19967500464441221</v>
      </c>
    </row>
    <row r="869" spans="1:11" x14ac:dyDescent="0.35">
      <c r="A869" s="1">
        <v>45493</v>
      </c>
      <c r="B869" s="3" t="s">
        <v>27</v>
      </c>
      <c r="C869" s="3" t="s">
        <v>24</v>
      </c>
      <c r="D869" s="3" t="s">
        <v>30</v>
      </c>
      <c r="E869" s="4">
        <v>7</v>
      </c>
      <c r="F869" s="4">
        <v>1214</v>
      </c>
      <c r="G869" s="3" t="s">
        <v>19</v>
      </c>
      <c r="H869">
        <v>8498</v>
      </c>
      <c r="I869">
        <v>5142.8051560000004</v>
      </c>
      <c r="J869">
        <v>3355.1948440000001</v>
      </c>
      <c r="K869" s="5">
        <f>IF(Table1[[#This Row],[Revenue]]=0, 0, Table1[[#This Row],[Profit]]/Table1[[#This Row],[Revenue]])</f>
        <v>0.39482170440103553</v>
      </c>
    </row>
    <row r="870" spans="1:11" x14ac:dyDescent="0.35">
      <c r="A870" s="1">
        <v>45330</v>
      </c>
      <c r="B870" s="3" t="s">
        <v>23</v>
      </c>
      <c r="C870" s="3" t="s">
        <v>17</v>
      </c>
      <c r="D870" s="3" t="s">
        <v>12</v>
      </c>
      <c r="E870" s="4">
        <v>10</v>
      </c>
      <c r="F870" s="4">
        <v>240</v>
      </c>
      <c r="G870" s="3" t="s">
        <v>19</v>
      </c>
      <c r="H870">
        <v>2400</v>
      </c>
      <c r="I870">
        <v>1818.267321</v>
      </c>
      <c r="J870">
        <v>581.73267859999999</v>
      </c>
      <c r="K870" s="5">
        <f>IF(Table1[[#This Row],[Revenue]]=0, 0, Table1[[#This Row],[Profit]]/Table1[[#This Row],[Revenue]])</f>
        <v>0.24238861608333331</v>
      </c>
    </row>
    <row r="871" spans="1:11" x14ac:dyDescent="0.35">
      <c r="A871" s="1">
        <v>45564</v>
      </c>
      <c r="B871" s="3" t="s">
        <v>23</v>
      </c>
      <c r="C871" s="3" t="s">
        <v>14</v>
      </c>
      <c r="D871" s="3" t="s">
        <v>12</v>
      </c>
      <c r="E871" s="4">
        <v>13</v>
      </c>
      <c r="F871" s="4">
        <v>1412</v>
      </c>
      <c r="G871" s="3" t="s">
        <v>16</v>
      </c>
      <c r="H871">
        <v>18356</v>
      </c>
      <c r="I871">
        <v>15538.59389</v>
      </c>
      <c r="J871">
        <v>2817.406113</v>
      </c>
      <c r="K871" s="5">
        <f>IF(Table1[[#This Row],[Revenue]]=0, 0, Table1[[#This Row],[Profit]]/Table1[[#This Row],[Revenue]])</f>
        <v>0.15348693141207234</v>
      </c>
    </row>
    <row r="872" spans="1:11" x14ac:dyDescent="0.35">
      <c r="A872" s="1">
        <v>45522</v>
      </c>
      <c r="B872" s="3" t="s">
        <v>20</v>
      </c>
      <c r="C872" s="3" t="s">
        <v>11</v>
      </c>
      <c r="D872" s="3" t="s">
        <v>15</v>
      </c>
      <c r="E872" s="4">
        <v>16</v>
      </c>
      <c r="F872" s="4">
        <v>829</v>
      </c>
      <c r="G872" s="3" t="s">
        <v>13</v>
      </c>
      <c r="H872">
        <v>13264</v>
      </c>
      <c r="I872">
        <v>8135.5494140000001</v>
      </c>
      <c r="J872">
        <v>5128.4505859999999</v>
      </c>
      <c r="K872" s="5">
        <f>IF(Table1[[#This Row],[Revenue]]=0, 0, Table1[[#This Row],[Profit]]/Table1[[#This Row],[Revenue]])</f>
        <v>0.38664434454161639</v>
      </c>
    </row>
    <row r="873" spans="1:11" x14ac:dyDescent="0.35">
      <c r="A873" s="1">
        <v>45377</v>
      </c>
      <c r="B873" s="3" t="s">
        <v>20</v>
      </c>
      <c r="C873" s="3" t="s">
        <v>26</v>
      </c>
      <c r="D873" s="3" t="s">
        <v>15</v>
      </c>
      <c r="E873" s="4">
        <v>14</v>
      </c>
      <c r="F873" s="4">
        <v>688</v>
      </c>
      <c r="G873" s="3" t="s">
        <v>19</v>
      </c>
      <c r="H873">
        <v>9632</v>
      </c>
      <c r="I873">
        <v>8542.1363600000004</v>
      </c>
      <c r="J873">
        <v>1089.86364</v>
      </c>
      <c r="K873" s="5">
        <f>IF(Table1[[#This Row],[Revenue]]=0, 0, Table1[[#This Row],[Profit]]/Table1[[#This Row],[Revenue]])</f>
        <v>0.11315029485049834</v>
      </c>
    </row>
    <row r="874" spans="1:11" x14ac:dyDescent="0.35">
      <c r="A874" s="1">
        <v>45417</v>
      </c>
      <c r="B874" s="3" t="s">
        <v>23</v>
      </c>
      <c r="C874" s="3" t="s">
        <v>11</v>
      </c>
      <c r="D874" s="3" t="s">
        <v>29</v>
      </c>
      <c r="E874" s="4">
        <v>11</v>
      </c>
      <c r="F874" s="4">
        <v>510</v>
      </c>
      <c r="G874" s="3" t="s">
        <v>13</v>
      </c>
      <c r="H874">
        <v>5610</v>
      </c>
      <c r="I874">
        <v>4079.8607459999998</v>
      </c>
      <c r="J874">
        <v>1530.1392539999999</v>
      </c>
      <c r="K874" s="5">
        <f>IF(Table1[[#This Row],[Revenue]]=0, 0, Table1[[#This Row],[Profit]]/Table1[[#This Row],[Revenue]])</f>
        <v>0.27275209518716576</v>
      </c>
    </row>
    <row r="875" spans="1:11" x14ac:dyDescent="0.35">
      <c r="A875" s="1">
        <v>45591</v>
      </c>
      <c r="B875" s="3" t="s">
        <v>20</v>
      </c>
      <c r="C875" s="3" t="s">
        <v>22</v>
      </c>
      <c r="D875" s="3" t="s">
        <v>25</v>
      </c>
      <c r="E875" s="4">
        <v>10</v>
      </c>
      <c r="F875" s="4">
        <v>476</v>
      </c>
      <c r="G875" s="3" t="s">
        <v>13</v>
      </c>
      <c r="H875">
        <v>4760</v>
      </c>
      <c r="I875">
        <v>3269.9707629999998</v>
      </c>
      <c r="J875">
        <v>1490.029237</v>
      </c>
      <c r="K875" s="5">
        <f>IF(Table1[[#This Row],[Revenue]]=0, 0, Table1[[#This Row],[Profit]]/Table1[[#This Row],[Revenue]])</f>
        <v>0.31303135231092438</v>
      </c>
    </row>
    <row r="876" spans="1:11" x14ac:dyDescent="0.35">
      <c r="A876" s="1">
        <v>45316</v>
      </c>
      <c r="B876" s="3" t="s">
        <v>27</v>
      </c>
      <c r="C876" s="3" t="s">
        <v>11</v>
      </c>
      <c r="D876" s="3" t="s">
        <v>21</v>
      </c>
      <c r="E876" s="4">
        <v>6</v>
      </c>
      <c r="F876" s="4">
        <v>1507</v>
      </c>
      <c r="G876" s="3" t="s">
        <v>13</v>
      </c>
      <c r="H876">
        <v>9042</v>
      </c>
      <c r="I876">
        <v>6867.8186260000002</v>
      </c>
      <c r="J876">
        <v>2174.1813739999998</v>
      </c>
      <c r="K876" s="5">
        <f>IF(Table1[[#This Row],[Revenue]]=0, 0, Table1[[#This Row],[Profit]]/Table1[[#This Row],[Revenue]])</f>
        <v>0.24045359146206588</v>
      </c>
    </row>
    <row r="877" spans="1:11" x14ac:dyDescent="0.35">
      <c r="A877" s="1">
        <v>45436</v>
      </c>
      <c r="B877" s="3" t="s">
        <v>43</v>
      </c>
      <c r="C877" s="3" t="s">
        <v>14</v>
      </c>
      <c r="D877" s="3" t="s">
        <v>18</v>
      </c>
      <c r="E877" s="4">
        <v>4</v>
      </c>
      <c r="F877" s="4">
        <v>1969</v>
      </c>
      <c r="G877" s="3" t="s">
        <v>16</v>
      </c>
      <c r="H877">
        <v>7876</v>
      </c>
      <c r="I877">
        <v>6618.7088830000002</v>
      </c>
      <c r="J877">
        <v>1257.291117</v>
      </c>
      <c r="K877" s="5">
        <f>IF(Table1[[#This Row],[Revenue]]=0, 0, Table1[[#This Row],[Profit]]/Table1[[#This Row],[Revenue]])</f>
        <v>0.1596357436515998</v>
      </c>
    </row>
    <row r="878" spans="1:11" x14ac:dyDescent="0.35">
      <c r="A878" s="1">
        <v>45304</v>
      </c>
      <c r="B878" s="3" t="s">
        <v>23</v>
      </c>
      <c r="C878" s="3" t="s">
        <v>31</v>
      </c>
      <c r="D878" s="3" t="s">
        <v>29</v>
      </c>
      <c r="E878" s="4">
        <v>1</v>
      </c>
      <c r="F878" s="4">
        <v>1275</v>
      </c>
      <c r="G878" s="3" t="s">
        <v>19</v>
      </c>
      <c r="H878">
        <v>1275</v>
      </c>
      <c r="I878">
        <v>946.59381110000004</v>
      </c>
      <c r="J878">
        <v>328.40618890000002</v>
      </c>
      <c r="K878" s="5">
        <f>IF(Table1[[#This Row],[Revenue]]=0, 0, Table1[[#This Row],[Profit]]/Table1[[#This Row],[Revenue]])</f>
        <v>0.2575734814901961</v>
      </c>
    </row>
    <row r="879" spans="1:11" x14ac:dyDescent="0.35">
      <c r="A879" s="1">
        <v>45503</v>
      </c>
      <c r="B879" s="3" t="s">
        <v>10</v>
      </c>
      <c r="C879" s="3" t="s">
        <v>14</v>
      </c>
      <c r="D879" s="3" t="s">
        <v>21</v>
      </c>
      <c r="E879" s="4">
        <v>7</v>
      </c>
      <c r="F879" s="4">
        <v>1958</v>
      </c>
      <c r="G879" s="3" t="s">
        <v>16</v>
      </c>
      <c r="H879">
        <v>13706</v>
      </c>
      <c r="I879">
        <v>10876.14552</v>
      </c>
      <c r="J879">
        <v>2829.8544790000001</v>
      </c>
      <c r="K879" s="5">
        <f>IF(Table1[[#This Row],[Revenue]]=0, 0, Table1[[#This Row],[Profit]]/Table1[[#This Row],[Revenue]])</f>
        <v>0.20646829702320152</v>
      </c>
    </row>
    <row r="880" spans="1:11" x14ac:dyDescent="0.35">
      <c r="A880" s="1">
        <v>45316</v>
      </c>
      <c r="B880" s="3" t="s">
        <v>27</v>
      </c>
      <c r="C880" s="3" t="s">
        <v>31</v>
      </c>
      <c r="D880" s="3" t="s">
        <v>12</v>
      </c>
      <c r="E880" s="4">
        <v>9</v>
      </c>
      <c r="F880" s="4">
        <v>850</v>
      </c>
      <c r="G880" s="3" t="s">
        <v>19</v>
      </c>
      <c r="H880">
        <v>7650</v>
      </c>
      <c r="I880">
        <v>5737.3035200000004</v>
      </c>
      <c r="J880">
        <v>1912.6964800000001</v>
      </c>
      <c r="K880" s="5">
        <f>IF(Table1[[#This Row],[Revenue]]=0, 0, Table1[[#This Row],[Profit]]/Table1[[#This Row],[Revenue]])</f>
        <v>0.25002568366013073</v>
      </c>
    </row>
    <row r="881" spans="1:11" x14ac:dyDescent="0.35">
      <c r="A881" s="1">
        <v>45359</v>
      </c>
      <c r="B881" s="3" t="s">
        <v>20</v>
      </c>
      <c r="C881" s="3" t="s">
        <v>11</v>
      </c>
      <c r="D881" s="3" t="s">
        <v>30</v>
      </c>
      <c r="E881" s="4">
        <v>8</v>
      </c>
      <c r="F881" s="4">
        <v>726</v>
      </c>
      <c r="G881" s="3" t="s">
        <v>13</v>
      </c>
      <c r="H881">
        <v>5808</v>
      </c>
      <c r="I881">
        <v>4584.7287800000004</v>
      </c>
      <c r="J881">
        <v>1223.2712200000001</v>
      </c>
      <c r="K881" s="5">
        <f>IF(Table1[[#This Row],[Revenue]]=0, 0, Table1[[#This Row],[Profit]]/Table1[[#This Row],[Revenue]])</f>
        <v>0.21061832300275485</v>
      </c>
    </row>
    <row r="882" spans="1:11" x14ac:dyDescent="0.35">
      <c r="A882" s="1">
        <v>45358</v>
      </c>
      <c r="B882" s="3" t="s">
        <v>10</v>
      </c>
      <c r="C882" s="3" t="s">
        <v>31</v>
      </c>
      <c r="D882" s="3" t="s">
        <v>15</v>
      </c>
      <c r="E882" s="4">
        <v>5</v>
      </c>
      <c r="F882" s="4">
        <v>1442</v>
      </c>
      <c r="G882" s="3" t="s">
        <v>19</v>
      </c>
      <c r="H882">
        <v>7210</v>
      </c>
      <c r="I882">
        <v>4624.5608700000003</v>
      </c>
      <c r="J882">
        <v>2585.4391300000002</v>
      </c>
      <c r="K882" s="5">
        <f>IF(Table1[[#This Row],[Revenue]]=0, 0, Table1[[#This Row],[Profit]]/Table1[[#This Row],[Revenue]])</f>
        <v>0.35859072538141473</v>
      </c>
    </row>
    <row r="883" spans="1:11" x14ac:dyDescent="0.35">
      <c r="A883" s="1">
        <v>45524</v>
      </c>
      <c r="B883" s="3" t="s">
        <v>10</v>
      </c>
      <c r="C883" s="3" t="s">
        <v>22</v>
      </c>
      <c r="D883" s="3" t="s">
        <v>32</v>
      </c>
      <c r="E883" s="4">
        <v>19</v>
      </c>
      <c r="F883" s="4">
        <v>1492</v>
      </c>
      <c r="G883" s="3" t="s">
        <v>13</v>
      </c>
      <c r="H883">
        <v>28348</v>
      </c>
      <c r="I883">
        <v>17337.608899999999</v>
      </c>
      <c r="J883">
        <v>11010.391100000001</v>
      </c>
      <c r="K883" s="5">
        <f>IF(Table1[[#This Row],[Revenue]]=0, 0, Table1[[#This Row],[Profit]]/Table1[[#This Row],[Revenue]])</f>
        <v>0.388400984196416</v>
      </c>
    </row>
    <row r="884" spans="1:11" x14ac:dyDescent="0.35">
      <c r="A884" s="1">
        <v>45400</v>
      </c>
      <c r="B884" s="3" t="s">
        <v>27</v>
      </c>
      <c r="C884" s="3" t="s">
        <v>17</v>
      </c>
      <c r="D884" s="3" t="s">
        <v>18</v>
      </c>
      <c r="E884" s="4">
        <v>10</v>
      </c>
      <c r="F884" s="4">
        <v>1729</v>
      </c>
      <c r="G884" s="3" t="s">
        <v>19</v>
      </c>
      <c r="H884">
        <v>17290</v>
      </c>
      <c r="I884">
        <v>11084.10759</v>
      </c>
      <c r="J884">
        <v>6205.892409</v>
      </c>
      <c r="K884" s="5">
        <f>IF(Table1[[#This Row],[Revenue]]=0, 0, Table1[[#This Row],[Profit]]/Table1[[#This Row],[Revenue]])</f>
        <v>0.35892957831116251</v>
      </c>
    </row>
    <row r="885" spans="1:11" x14ac:dyDescent="0.35">
      <c r="A885" s="1">
        <v>45437</v>
      </c>
      <c r="B885" s="3" t="s">
        <v>27</v>
      </c>
      <c r="C885" s="3" t="s">
        <v>31</v>
      </c>
      <c r="D885" s="3" t="s">
        <v>12</v>
      </c>
      <c r="E885" s="4">
        <v>11</v>
      </c>
      <c r="F885" s="4">
        <v>1094</v>
      </c>
      <c r="G885" s="3" t="s">
        <v>19</v>
      </c>
      <c r="H885">
        <v>12034</v>
      </c>
      <c r="I885">
        <v>8252.3328700000002</v>
      </c>
      <c r="J885">
        <v>3781.6671299999998</v>
      </c>
      <c r="K885" s="5">
        <f>IF(Table1[[#This Row],[Revenue]]=0, 0, Table1[[#This Row],[Profit]]/Table1[[#This Row],[Revenue]])</f>
        <v>0.31424855658966261</v>
      </c>
    </row>
    <row r="886" spans="1:11" x14ac:dyDescent="0.35">
      <c r="A886" s="1">
        <v>45402</v>
      </c>
      <c r="B886" s="3" t="s">
        <v>10</v>
      </c>
      <c r="C886" s="3" t="s">
        <v>31</v>
      </c>
      <c r="D886" s="3" t="s">
        <v>32</v>
      </c>
      <c r="E886" s="4">
        <v>15</v>
      </c>
      <c r="F886" s="4">
        <v>1683</v>
      </c>
      <c r="G886" s="3" t="s">
        <v>19</v>
      </c>
      <c r="H886">
        <v>25245</v>
      </c>
      <c r="I886">
        <v>17065.792140000001</v>
      </c>
      <c r="J886">
        <v>8179.2078609999999</v>
      </c>
      <c r="K886" s="5">
        <f>IF(Table1[[#This Row],[Revenue]]=0, 0, Table1[[#This Row],[Profit]]/Table1[[#This Row],[Revenue]])</f>
        <v>0.32399318126361654</v>
      </c>
    </row>
    <row r="887" spans="1:11" x14ac:dyDescent="0.35">
      <c r="A887" s="1">
        <v>45519</v>
      </c>
      <c r="B887" s="3" t="s">
        <v>10</v>
      </c>
      <c r="C887" s="3" t="s">
        <v>11</v>
      </c>
      <c r="D887" s="3" t="s">
        <v>15</v>
      </c>
      <c r="E887" s="4">
        <v>6</v>
      </c>
      <c r="F887" s="4">
        <v>802</v>
      </c>
      <c r="G887" s="3" t="s">
        <v>13</v>
      </c>
      <c r="H887">
        <v>4812</v>
      </c>
      <c r="I887">
        <v>3775.2671350000001</v>
      </c>
      <c r="J887">
        <v>1036.7328649999999</v>
      </c>
      <c r="K887" s="5">
        <f>IF(Table1[[#This Row],[Revenue]]=0, 0, Table1[[#This Row],[Profit]]/Table1[[#This Row],[Revenue]])</f>
        <v>0.21544739505403157</v>
      </c>
    </row>
    <row r="888" spans="1:11" x14ac:dyDescent="0.35">
      <c r="A888" s="1">
        <v>45402</v>
      </c>
      <c r="B888" s="3" t="s">
        <v>23</v>
      </c>
      <c r="C888" s="3" t="s">
        <v>22</v>
      </c>
      <c r="D888" s="3" t="s">
        <v>12</v>
      </c>
      <c r="E888" s="4">
        <v>15</v>
      </c>
      <c r="F888" s="4">
        <v>561</v>
      </c>
      <c r="G888" s="3" t="s">
        <v>13</v>
      </c>
      <c r="H888">
        <v>8415</v>
      </c>
      <c r="I888">
        <v>6199.8928509999996</v>
      </c>
      <c r="J888">
        <v>2215.1071489999999</v>
      </c>
      <c r="K888" s="5">
        <f>IF(Table1[[#This Row],[Revenue]]=0, 0, Table1[[#This Row],[Profit]]/Table1[[#This Row],[Revenue]])</f>
        <v>0.26323317278669045</v>
      </c>
    </row>
    <row r="889" spans="1:11" x14ac:dyDescent="0.35">
      <c r="A889" s="1">
        <v>45325</v>
      </c>
      <c r="B889" s="3" t="s">
        <v>20</v>
      </c>
      <c r="C889" s="3" t="s">
        <v>28</v>
      </c>
      <c r="D889" s="3" t="s">
        <v>25</v>
      </c>
      <c r="E889" s="4">
        <v>5</v>
      </c>
      <c r="F889" s="4">
        <v>111</v>
      </c>
      <c r="G889" s="3" t="s">
        <v>16</v>
      </c>
      <c r="H889">
        <v>555</v>
      </c>
      <c r="I889">
        <v>339.46219480000002</v>
      </c>
      <c r="J889">
        <v>215.53780520000001</v>
      </c>
      <c r="K889" s="5">
        <f>IF(Table1[[#This Row],[Revenue]]=0, 0, Table1[[#This Row],[Profit]]/Table1[[#This Row],[Revenue]])</f>
        <v>0.3883564057657658</v>
      </c>
    </row>
    <row r="890" spans="1:11" x14ac:dyDescent="0.35">
      <c r="A890" s="1">
        <v>45402</v>
      </c>
      <c r="B890" s="3" t="s">
        <v>23</v>
      </c>
      <c r="C890" s="3" t="s">
        <v>28</v>
      </c>
      <c r="D890" s="3" t="s">
        <v>25</v>
      </c>
      <c r="E890" s="4">
        <v>19</v>
      </c>
      <c r="F890" s="4">
        <v>1279</v>
      </c>
      <c r="G890" s="3" t="s">
        <v>16</v>
      </c>
      <c r="H890">
        <v>24301</v>
      </c>
      <c r="I890">
        <v>14834.78292</v>
      </c>
      <c r="J890">
        <v>9466.2170829999995</v>
      </c>
      <c r="K890" s="5">
        <f>IF(Table1[[#This Row],[Revenue]]=0, 0, Table1[[#This Row],[Profit]]/Table1[[#This Row],[Revenue]])</f>
        <v>0.38954022809760913</v>
      </c>
    </row>
    <row r="891" spans="1:11" x14ac:dyDescent="0.35">
      <c r="A891" s="1">
        <v>45555</v>
      </c>
      <c r="B891" s="3" t="s">
        <v>27</v>
      </c>
      <c r="C891" s="3" t="s">
        <v>28</v>
      </c>
      <c r="D891" s="3" t="s">
        <v>32</v>
      </c>
      <c r="E891" s="4">
        <v>19</v>
      </c>
      <c r="F891" s="4">
        <v>1807</v>
      </c>
      <c r="G891" s="3" t="s">
        <v>16</v>
      </c>
      <c r="H891">
        <v>34333</v>
      </c>
      <c r="I891">
        <v>21532.84736</v>
      </c>
      <c r="J891">
        <v>12800.15264</v>
      </c>
      <c r="K891" s="5">
        <f>IF(Table1[[#This Row],[Revenue]]=0, 0, Table1[[#This Row],[Profit]]/Table1[[#This Row],[Revenue]])</f>
        <v>0.37282359945242188</v>
      </c>
    </row>
    <row r="892" spans="1:11" x14ac:dyDescent="0.35">
      <c r="A892" s="1">
        <v>45527</v>
      </c>
      <c r="B892" s="3" t="s">
        <v>23</v>
      </c>
      <c r="C892" s="3" t="s">
        <v>28</v>
      </c>
      <c r="D892" s="3" t="s">
        <v>30</v>
      </c>
      <c r="E892" s="4">
        <v>10</v>
      </c>
      <c r="F892" s="4">
        <v>576</v>
      </c>
      <c r="G892" s="3" t="s">
        <v>16</v>
      </c>
      <c r="H892">
        <v>5760</v>
      </c>
      <c r="I892">
        <v>4066.1242400000001</v>
      </c>
      <c r="J892">
        <v>1693.8757599999999</v>
      </c>
      <c r="K892" s="5">
        <f>IF(Table1[[#This Row],[Revenue]]=0, 0, Table1[[#This Row],[Profit]]/Table1[[#This Row],[Revenue]])</f>
        <v>0.29407565277777775</v>
      </c>
    </row>
    <row r="893" spans="1:11" x14ac:dyDescent="0.35">
      <c r="A893" s="1">
        <v>45374</v>
      </c>
      <c r="B893" s="3" t="s">
        <v>23</v>
      </c>
      <c r="C893" s="3" t="s">
        <v>17</v>
      </c>
      <c r="D893" s="3" t="s">
        <v>12</v>
      </c>
      <c r="E893" s="4">
        <v>12</v>
      </c>
      <c r="F893" s="4">
        <v>1038</v>
      </c>
      <c r="G893" s="3" t="s">
        <v>19</v>
      </c>
      <c r="H893">
        <v>12456</v>
      </c>
      <c r="I893">
        <v>7496.7044509999996</v>
      </c>
      <c r="J893">
        <v>4959.2955490000004</v>
      </c>
      <c r="K893" s="5">
        <f>IF(Table1[[#This Row],[Revenue]]=0, 0, Table1[[#This Row],[Profit]]/Table1[[#This Row],[Revenue]])</f>
        <v>0.39814511472382791</v>
      </c>
    </row>
    <row r="894" spans="1:11" x14ac:dyDescent="0.35">
      <c r="A894" s="1">
        <v>45333</v>
      </c>
      <c r="B894" s="3" t="s">
        <v>23</v>
      </c>
      <c r="C894" s="3" t="s">
        <v>43</v>
      </c>
      <c r="D894" s="3" t="s">
        <v>21</v>
      </c>
      <c r="E894" s="4">
        <v>4</v>
      </c>
      <c r="F894" s="4">
        <v>500</v>
      </c>
      <c r="G894" s="3" t="s">
        <v>16</v>
      </c>
      <c r="H894">
        <v>2000</v>
      </c>
      <c r="I894">
        <v>1496.3923589999999</v>
      </c>
      <c r="J894">
        <v>503.60764069999999</v>
      </c>
      <c r="K894" s="5">
        <f>IF(Table1[[#This Row],[Revenue]]=0, 0, Table1[[#This Row],[Profit]]/Table1[[#This Row],[Revenue]])</f>
        <v>0.25180382034999998</v>
      </c>
    </row>
    <row r="895" spans="1:11" x14ac:dyDescent="0.35">
      <c r="A895" s="1">
        <v>45392</v>
      </c>
      <c r="B895" s="3" t="s">
        <v>23</v>
      </c>
      <c r="C895" s="3" t="s">
        <v>11</v>
      </c>
      <c r="D895" s="3" t="s">
        <v>12</v>
      </c>
      <c r="E895" s="4">
        <v>18</v>
      </c>
      <c r="F895" s="4">
        <v>907</v>
      </c>
      <c r="G895" s="3" t="s">
        <v>13</v>
      </c>
      <c r="H895">
        <v>16326</v>
      </c>
      <c r="I895">
        <v>11562.087879999999</v>
      </c>
      <c r="J895">
        <v>4763.9121180000002</v>
      </c>
      <c r="K895" s="5">
        <f>IF(Table1[[#This Row],[Revenue]]=0, 0, Table1[[#This Row],[Profit]]/Table1[[#This Row],[Revenue]])</f>
        <v>0.2917991006982727</v>
      </c>
    </row>
    <row r="896" spans="1:11" x14ac:dyDescent="0.35">
      <c r="A896" s="1">
        <v>45297</v>
      </c>
      <c r="B896" s="3" t="s">
        <v>20</v>
      </c>
      <c r="C896" s="3" t="s">
        <v>11</v>
      </c>
      <c r="D896" s="3" t="s">
        <v>30</v>
      </c>
      <c r="E896" s="4">
        <v>16</v>
      </c>
      <c r="F896" s="4">
        <v>276</v>
      </c>
      <c r="G896" s="3" t="s">
        <v>13</v>
      </c>
      <c r="H896">
        <v>4416</v>
      </c>
      <c r="I896">
        <v>3385.448637</v>
      </c>
      <c r="J896">
        <v>1030.551363</v>
      </c>
      <c r="K896" s="5">
        <f>IF(Table1[[#This Row],[Revenue]]=0, 0, Table1[[#This Row],[Profit]]/Table1[[#This Row],[Revenue]])</f>
        <v>0.23336760937500001</v>
      </c>
    </row>
    <row r="897" spans="1:11" x14ac:dyDescent="0.35">
      <c r="A897" s="1">
        <v>45471</v>
      </c>
      <c r="B897" s="3" t="s">
        <v>20</v>
      </c>
      <c r="C897" s="3" t="s">
        <v>24</v>
      </c>
      <c r="D897" s="3" t="s">
        <v>12</v>
      </c>
      <c r="E897" s="4">
        <v>8</v>
      </c>
      <c r="F897" s="4">
        <v>1464</v>
      </c>
      <c r="G897" s="3" t="s">
        <v>19</v>
      </c>
      <c r="H897">
        <v>11712</v>
      </c>
      <c r="I897">
        <v>9559.8915209999996</v>
      </c>
      <c r="J897">
        <v>2152.108479</v>
      </c>
      <c r="K897" s="5">
        <f>IF(Table1[[#This Row],[Revenue]]=0, 0, Table1[[#This Row],[Profit]]/Table1[[#This Row],[Revenue]])</f>
        <v>0.18375243160860655</v>
      </c>
    </row>
    <row r="898" spans="1:11" x14ac:dyDescent="0.35">
      <c r="A898" s="1">
        <v>45573</v>
      </c>
      <c r="B898" s="3" t="s">
        <v>10</v>
      </c>
      <c r="C898" s="3" t="s">
        <v>22</v>
      </c>
      <c r="D898" s="3" t="s">
        <v>32</v>
      </c>
      <c r="E898" s="4">
        <v>4</v>
      </c>
      <c r="F898" s="4">
        <v>156</v>
      </c>
      <c r="G898" s="3" t="s">
        <v>13</v>
      </c>
      <c r="H898">
        <v>624</v>
      </c>
      <c r="I898">
        <v>421.38211109999997</v>
      </c>
      <c r="J898">
        <v>202.6178889</v>
      </c>
      <c r="K898" s="5">
        <f>IF(Table1[[#This Row],[Revenue]]=0, 0, Table1[[#This Row],[Profit]]/Table1[[#This Row],[Revenue]])</f>
        <v>0.32470815528846153</v>
      </c>
    </row>
    <row r="899" spans="1:11" x14ac:dyDescent="0.35">
      <c r="A899" s="1">
        <v>45611</v>
      </c>
      <c r="B899" s="3" t="s">
        <v>27</v>
      </c>
      <c r="C899" s="3" t="s">
        <v>28</v>
      </c>
      <c r="D899" s="3" t="s">
        <v>30</v>
      </c>
      <c r="E899" s="4">
        <v>12</v>
      </c>
      <c r="F899" s="4">
        <v>1978</v>
      </c>
      <c r="G899" s="3" t="s">
        <v>16</v>
      </c>
      <c r="H899">
        <v>23736</v>
      </c>
      <c r="I899">
        <v>15360.161239999999</v>
      </c>
      <c r="J899">
        <v>8375.8387619999994</v>
      </c>
      <c r="K899" s="5">
        <f>IF(Table1[[#This Row],[Revenue]]=0, 0, Table1[[#This Row],[Profit]]/Table1[[#This Row],[Revenue]])</f>
        <v>0.35287490571284125</v>
      </c>
    </row>
    <row r="900" spans="1:11" x14ac:dyDescent="0.35">
      <c r="A900" s="1">
        <v>45517</v>
      </c>
      <c r="B900" s="3" t="s">
        <v>23</v>
      </c>
      <c r="C900" s="3" t="s">
        <v>17</v>
      </c>
      <c r="D900" s="3" t="s">
        <v>15</v>
      </c>
      <c r="E900" s="4">
        <v>2</v>
      </c>
      <c r="F900" s="4">
        <v>1975</v>
      </c>
      <c r="G900" s="3" t="s">
        <v>19</v>
      </c>
      <c r="H900">
        <v>3950</v>
      </c>
      <c r="I900">
        <v>2699.4934640000001</v>
      </c>
      <c r="J900">
        <v>1250.5065360000001</v>
      </c>
      <c r="K900" s="5">
        <f>IF(Table1[[#This Row],[Revenue]]=0, 0, Table1[[#This Row],[Profit]]/Table1[[#This Row],[Revenue]])</f>
        <v>0.31658393316455696</v>
      </c>
    </row>
    <row r="901" spans="1:11" x14ac:dyDescent="0.35">
      <c r="A901" s="1">
        <v>45606</v>
      </c>
      <c r="B901" s="3" t="s">
        <v>10</v>
      </c>
      <c r="C901" s="3" t="s">
        <v>22</v>
      </c>
      <c r="D901" s="3" t="s">
        <v>18</v>
      </c>
      <c r="E901" s="4">
        <v>4</v>
      </c>
      <c r="F901" s="4">
        <v>547</v>
      </c>
      <c r="G901" s="3" t="s">
        <v>13</v>
      </c>
      <c r="H901">
        <v>2188</v>
      </c>
      <c r="I901">
        <v>1313.957353</v>
      </c>
      <c r="J901">
        <v>874.04264739999996</v>
      </c>
      <c r="K901" s="5">
        <f>IF(Table1[[#This Row],[Revenue]]=0, 0, Table1[[#This Row],[Profit]]/Table1[[#This Row],[Revenue]])</f>
        <v>0.39947104542961609</v>
      </c>
    </row>
    <row r="902" spans="1:11" x14ac:dyDescent="0.35">
      <c r="A902" s="1">
        <v>45656</v>
      </c>
      <c r="B902" s="3" t="s">
        <v>10</v>
      </c>
      <c r="C902" s="3" t="s">
        <v>28</v>
      </c>
      <c r="D902" s="3" t="s">
        <v>30</v>
      </c>
      <c r="E902" s="4">
        <v>5</v>
      </c>
      <c r="F902" s="4">
        <v>302</v>
      </c>
      <c r="G902" s="3" t="s">
        <v>16</v>
      </c>
      <c r="H902">
        <v>1510</v>
      </c>
      <c r="I902">
        <v>960.36586890000001</v>
      </c>
      <c r="J902">
        <v>549.63413109999999</v>
      </c>
      <c r="K902" s="5">
        <f>IF(Table1[[#This Row],[Revenue]]=0, 0, Table1[[#This Row],[Profit]]/Table1[[#This Row],[Revenue]])</f>
        <v>0.36399611331125825</v>
      </c>
    </row>
    <row r="903" spans="1:11" x14ac:dyDescent="0.35">
      <c r="A903" s="1">
        <v>45520</v>
      </c>
      <c r="B903" s="3" t="s">
        <v>10</v>
      </c>
      <c r="C903" s="3" t="s">
        <v>17</v>
      </c>
      <c r="D903" s="3" t="s">
        <v>12</v>
      </c>
      <c r="E903" s="4">
        <v>3</v>
      </c>
      <c r="F903" s="4">
        <v>1820</v>
      </c>
      <c r="G903" s="3" t="s">
        <v>19</v>
      </c>
      <c r="H903">
        <v>5460</v>
      </c>
      <c r="I903">
        <v>4505.8601360000002</v>
      </c>
      <c r="J903">
        <v>954.1398643</v>
      </c>
      <c r="K903" s="5">
        <f>IF(Table1[[#This Row],[Revenue]]=0, 0, Table1[[#This Row],[Profit]]/Table1[[#This Row],[Revenue]])</f>
        <v>0.1747508908974359</v>
      </c>
    </row>
    <row r="904" spans="1:11" x14ac:dyDescent="0.35">
      <c r="A904" s="1">
        <v>45580</v>
      </c>
      <c r="B904" s="3" t="s">
        <v>20</v>
      </c>
      <c r="C904" s="3" t="s">
        <v>22</v>
      </c>
      <c r="D904" s="3" t="s">
        <v>15</v>
      </c>
      <c r="E904" s="4">
        <v>9</v>
      </c>
      <c r="F904" s="4">
        <v>1756</v>
      </c>
      <c r="G904" s="3" t="s">
        <v>13</v>
      </c>
      <c r="H904">
        <v>15804</v>
      </c>
      <c r="I904">
        <v>10538.7718</v>
      </c>
      <c r="J904">
        <v>5265.2281990000001</v>
      </c>
      <c r="K904" s="5">
        <f>IF(Table1[[#This Row],[Revenue]]=0, 0, Table1[[#This Row],[Profit]]/Table1[[#This Row],[Revenue]])</f>
        <v>0.33315794729182485</v>
      </c>
    </row>
    <row r="905" spans="1:11" x14ac:dyDescent="0.35">
      <c r="A905" s="1">
        <v>45441</v>
      </c>
      <c r="B905" s="3" t="s">
        <v>23</v>
      </c>
      <c r="C905" s="3" t="s">
        <v>11</v>
      </c>
      <c r="D905" s="3" t="s">
        <v>18</v>
      </c>
      <c r="E905" s="4">
        <v>18</v>
      </c>
      <c r="F905" s="4">
        <v>837</v>
      </c>
      <c r="G905" s="3" t="s">
        <v>13</v>
      </c>
      <c r="H905">
        <v>15066</v>
      </c>
      <c r="I905">
        <v>13533.635480000001</v>
      </c>
      <c r="J905">
        <v>1532.364515</v>
      </c>
      <c r="K905" s="5">
        <f>IF(Table1[[#This Row],[Revenue]]=0, 0, Table1[[#This Row],[Profit]]/Table1[[#This Row],[Revenue]])</f>
        <v>0.10171010984999336</v>
      </c>
    </row>
    <row r="906" spans="1:11" x14ac:dyDescent="0.35">
      <c r="A906" s="1">
        <v>45568</v>
      </c>
      <c r="B906" s="3" t="s">
        <v>23</v>
      </c>
      <c r="C906" s="3" t="s">
        <v>11</v>
      </c>
      <c r="D906" s="3" t="s">
        <v>25</v>
      </c>
      <c r="E906" s="4">
        <v>11</v>
      </c>
      <c r="F906" s="4">
        <v>301</v>
      </c>
      <c r="G906" s="3" t="s">
        <v>13</v>
      </c>
      <c r="H906">
        <v>3311</v>
      </c>
      <c r="I906">
        <v>2153.3070499999999</v>
      </c>
      <c r="J906">
        <v>1157.6929500000001</v>
      </c>
      <c r="K906" s="5">
        <f>IF(Table1[[#This Row],[Revenue]]=0, 0, Table1[[#This Row],[Profit]]/Table1[[#This Row],[Revenue]])</f>
        <v>0.34965054364240417</v>
      </c>
    </row>
    <row r="907" spans="1:11" x14ac:dyDescent="0.35">
      <c r="A907" s="1">
        <v>45489</v>
      </c>
      <c r="B907" s="3" t="s">
        <v>27</v>
      </c>
      <c r="C907" s="3" t="s">
        <v>14</v>
      </c>
      <c r="D907" s="3" t="s">
        <v>21</v>
      </c>
      <c r="E907" s="4">
        <v>3</v>
      </c>
      <c r="F907" s="4">
        <v>1453</v>
      </c>
      <c r="G907" s="3" t="s">
        <v>16</v>
      </c>
      <c r="H907">
        <v>4359</v>
      </c>
      <c r="I907">
        <v>3646.8767720000001</v>
      </c>
      <c r="J907">
        <v>712.12322759999995</v>
      </c>
      <c r="K907" s="5">
        <f>IF(Table1[[#This Row],[Revenue]]=0, 0, Table1[[#This Row],[Profit]]/Table1[[#This Row],[Revenue]])</f>
        <v>0.16336848534067447</v>
      </c>
    </row>
    <row r="908" spans="1:11" x14ac:dyDescent="0.35">
      <c r="A908" s="1">
        <v>45361</v>
      </c>
      <c r="B908" s="3" t="s">
        <v>23</v>
      </c>
      <c r="C908" s="3" t="s">
        <v>26</v>
      </c>
      <c r="D908" s="3" t="s">
        <v>32</v>
      </c>
      <c r="E908" s="4">
        <v>2</v>
      </c>
      <c r="F908" s="4">
        <v>462</v>
      </c>
      <c r="G908" s="3" t="s">
        <v>19</v>
      </c>
      <c r="H908">
        <v>924</v>
      </c>
      <c r="I908">
        <v>749.83832759999996</v>
      </c>
      <c r="J908">
        <v>174.16167239999999</v>
      </c>
      <c r="K908" s="5">
        <f>IF(Table1[[#This Row],[Revenue]]=0, 0, Table1[[#This Row],[Profit]]/Table1[[#This Row],[Revenue]])</f>
        <v>0.18848665844155843</v>
      </c>
    </row>
    <row r="909" spans="1:11" x14ac:dyDescent="0.35">
      <c r="A909" s="1">
        <v>45403</v>
      </c>
      <c r="B909" s="3" t="s">
        <v>23</v>
      </c>
      <c r="C909" s="3" t="s">
        <v>14</v>
      </c>
      <c r="D909" s="3" t="s">
        <v>12</v>
      </c>
      <c r="E909" s="4">
        <v>9</v>
      </c>
      <c r="F909" s="4">
        <v>991</v>
      </c>
      <c r="G909" s="3" t="s">
        <v>16</v>
      </c>
      <c r="H909">
        <v>8919</v>
      </c>
      <c r="I909">
        <v>6213.3289750000004</v>
      </c>
      <c r="J909">
        <v>2705.6710250000001</v>
      </c>
      <c r="K909" s="5">
        <f>IF(Table1[[#This Row],[Revenue]]=0, 0, Table1[[#This Row],[Profit]]/Table1[[#This Row],[Revenue]])</f>
        <v>0.30336035710281423</v>
      </c>
    </row>
    <row r="910" spans="1:11" x14ac:dyDescent="0.35">
      <c r="A910" s="1">
        <v>45295</v>
      </c>
      <c r="B910" s="3" t="s">
        <v>10</v>
      </c>
      <c r="C910" s="3" t="s">
        <v>31</v>
      </c>
      <c r="D910" s="3" t="s">
        <v>12</v>
      </c>
      <c r="E910" s="4">
        <v>14</v>
      </c>
      <c r="F910" s="4">
        <v>553</v>
      </c>
      <c r="G910" s="3" t="s">
        <v>19</v>
      </c>
      <c r="H910">
        <v>7742</v>
      </c>
      <c r="I910">
        <v>5413.3747350000003</v>
      </c>
      <c r="J910">
        <v>2328.6252650000001</v>
      </c>
      <c r="K910" s="5">
        <f>IF(Table1[[#This Row],[Revenue]]=0, 0, Table1[[#This Row],[Profit]]/Table1[[#This Row],[Revenue]])</f>
        <v>0.30077825691035909</v>
      </c>
    </row>
    <row r="911" spans="1:11" x14ac:dyDescent="0.35">
      <c r="A911" s="1">
        <v>45641</v>
      </c>
      <c r="B911" s="3" t="s">
        <v>27</v>
      </c>
      <c r="C911" s="3" t="s">
        <v>14</v>
      </c>
      <c r="D911" s="3" t="s">
        <v>25</v>
      </c>
      <c r="E911" s="4">
        <v>4</v>
      </c>
      <c r="F911" s="4">
        <v>455</v>
      </c>
      <c r="G911" s="3" t="s">
        <v>16</v>
      </c>
      <c r="H911">
        <v>1820</v>
      </c>
      <c r="I911">
        <v>1399.699163</v>
      </c>
      <c r="J911">
        <v>420.30083680000001</v>
      </c>
      <c r="K911" s="5">
        <f>IF(Table1[[#This Row],[Revenue]]=0, 0, Table1[[#This Row],[Profit]]/Table1[[#This Row],[Revenue]])</f>
        <v>0.23093452571428572</v>
      </c>
    </row>
    <row r="912" spans="1:11" x14ac:dyDescent="0.35">
      <c r="A912" s="1">
        <v>45609</v>
      </c>
      <c r="B912" s="3" t="s">
        <v>20</v>
      </c>
      <c r="C912" s="3" t="s">
        <v>24</v>
      </c>
      <c r="D912" s="3" t="s">
        <v>25</v>
      </c>
      <c r="E912" s="4">
        <v>13</v>
      </c>
      <c r="F912" s="4">
        <v>1071</v>
      </c>
      <c r="G912" s="3" t="s">
        <v>19</v>
      </c>
      <c r="H912">
        <v>13923</v>
      </c>
      <c r="I912">
        <v>9966.8642469999995</v>
      </c>
      <c r="J912">
        <v>3956.135753</v>
      </c>
      <c r="K912" s="5">
        <f>IF(Table1[[#This Row],[Revenue]]=0, 0, Table1[[#This Row],[Profit]]/Table1[[#This Row],[Revenue]])</f>
        <v>0.28414391675644618</v>
      </c>
    </row>
    <row r="913" spans="1:11" x14ac:dyDescent="0.35">
      <c r="A913" s="1">
        <v>45641</v>
      </c>
      <c r="B913" s="3" t="s">
        <v>23</v>
      </c>
      <c r="C913" s="3" t="s">
        <v>22</v>
      </c>
      <c r="D913" s="3" t="s">
        <v>29</v>
      </c>
      <c r="E913" s="4">
        <v>18</v>
      </c>
      <c r="F913" s="4">
        <v>654</v>
      </c>
      <c r="G913" s="3" t="s">
        <v>13</v>
      </c>
      <c r="H913">
        <v>11772</v>
      </c>
      <c r="I913">
        <v>7279.2628670000004</v>
      </c>
      <c r="J913">
        <v>4492.7371329999996</v>
      </c>
      <c r="K913" s="5">
        <f>IF(Table1[[#This Row],[Revenue]]=0, 0, Table1[[#This Row],[Profit]]/Table1[[#This Row],[Revenue]])</f>
        <v>0.38164603576282702</v>
      </c>
    </row>
    <row r="914" spans="1:11" x14ac:dyDescent="0.35">
      <c r="A914" s="1">
        <v>45386</v>
      </c>
      <c r="B914" s="3" t="s">
        <v>10</v>
      </c>
      <c r="C914" s="3" t="s">
        <v>24</v>
      </c>
      <c r="D914" s="3" t="s">
        <v>25</v>
      </c>
      <c r="E914" s="4">
        <v>15</v>
      </c>
      <c r="F914" s="4">
        <v>986</v>
      </c>
      <c r="G914" s="3" t="s">
        <v>19</v>
      </c>
      <c r="H914">
        <v>14790</v>
      </c>
      <c r="I914">
        <v>10535.29789</v>
      </c>
      <c r="J914">
        <v>4254.7021119999999</v>
      </c>
      <c r="K914" s="5">
        <f>IF(Table1[[#This Row],[Revenue]]=0, 0, Table1[[#This Row],[Profit]]/Table1[[#This Row],[Revenue]])</f>
        <v>0.287674246923597</v>
      </c>
    </row>
    <row r="915" spans="1:11" x14ac:dyDescent="0.35">
      <c r="A915" s="1">
        <v>45443</v>
      </c>
      <c r="B915" s="3" t="s">
        <v>20</v>
      </c>
      <c r="C915" s="3" t="s">
        <v>26</v>
      </c>
      <c r="D915" s="3" t="s">
        <v>15</v>
      </c>
      <c r="E915" s="4">
        <v>10</v>
      </c>
      <c r="F915" s="4">
        <v>122</v>
      </c>
      <c r="G915" s="3" t="s">
        <v>19</v>
      </c>
      <c r="H915">
        <v>1220</v>
      </c>
      <c r="I915">
        <v>807.87643839999998</v>
      </c>
      <c r="J915">
        <v>412.12356160000002</v>
      </c>
      <c r="K915" s="5">
        <f>IF(Table1[[#This Row],[Revenue]]=0, 0, Table1[[#This Row],[Profit]]/Table1[[#This Row],[Revenue]])</f>
        <v>0.33780619803278689</v>
      </c>
    </row>
    <row r="916" spans="1:11" x14ac:dyDescent="0.35">
      <c r="A916" s="1">
        <v>45602</v>
      </c>
      <c r="B916" s="3" t="s">
        <v>43</v>
      </c>
      <c r="C916" s="3" t="s">
        <v>31</v>
      </c>
      <c r="D916" s="3" t="s">
        <v>18</v>
      </c>
      <c r="E916" s="4">
        <v>16</v>
      </c>
      <c r="F916" s="4">
        <v>254</v>
      </c>
      <c r="G916" s="3" t="s">
        <v>19</v>
      </c>
      <c r="H916">
        <v>4064</v>
      </c>
      <c r="I916">
        <v>3583.4811949999998</v>
      </c>
      <c r="J916">
        <v>480.5188048</v>
      </c>
      <c r="K916" s="5">
        <f>IF(Table1[[#This Row],[Revenue]]=0, 0, Table1[[#This Row],[Profit]]/Table1[[#This Row],[Revenue]])</f>
        <v>0.11823789488188977</v>
      </c>
    </row>
    <row r="917" spans="1:11" x14ac:dyDescent="0.35">
      <c r="A917" s="1">
        <v>45428</v>
      </c>
      <c r="B917" s="3" t="s">
        <v>23</v>
      </c>
      <c r="C917" s="3" t="s">
        <v>22</v>
      </c>
      <c r="D917" s="3" t="s">
        <v>12</v>
      </c>
      <c r="E917" s="4">
        <v>12</v>
      </c>
      <c r="F917" s="4">
        <v>1309</v>
      </c>
      <c r="G917" s="3" t="s">
        <v>13</v>
      </c>
      <c r="H917">
        <v>15708</v>
      </c>
      <c r="I917">
        <v>12710.635630000001</v>
      </c>
      <c r="J917">
        <v>2997.3643699999998</v>
      </c>
      <c r="K917" s="5">
        <f>IF(Table1[[#This Row],[Revenue]]=0, 0, Table1[[#This Row],[Profit]]/Table1[[#This Row],[Revenue]])</f>
        <v>0.19081769607843135</v>
      </c>
    </row>
    <row r="918" spans="1:11" x14ac:dyDescent="0.35">
      <c r="A918" s="1">
        <v>45538</v>
      </c>
      <c r="B918" s="3" t="s">
        <v>20</v>
      </c>
      <c r="C918" s="3" t="s">
        <v>17</v>
      </c>
      <c r="D918" s="3" t="s">
        <v>25</v>
      </c>
      <c r="E918" s="4">
        <v>5</v>
      </c>
      <c r="F918" s="4">
        <v>348</v>
      </c>
      <c r="G918" s="3" t="s">
        <v>19</v>
      </c>
      <c r="H918">
        <v>1740</v>
      </c>
      <c r="I918">
        <v>1070.5346509999999</v>
      </c>
      <c r="J918">
        <v>669.46534929999996</v>
      </c>
      <c r="K918" s="5">
        <f>IF(Table1[[#This Row],[Revenue]]=0, 0, Table1[[#This Row],[Profit]]/Table1[[#This Row],[Revenue]])</f>
        <v>0.3847502007471264</v>
      </c>
    </row>
    <row r="919" spans="1:11" x14ac:dyDescent="0.35">
      <c r="A919" s="1">
        <v>45534</v>
      </c>
      <c r="B919" s="3" t="s">
        <v>27</v>
      </c>
      <c r="C919" s="3" t="s">
        <v>28</v>
      </c>
      <c r="D919" s="3" t="s">
        <v>12</v>
      </c>
      <c r="E919" s="4">
        <v>2</v>
      </c>
      <c r="F919" s="4">
        <v>848</v>
      </c>
      <c r="G919" s="3" t="s">
        <v>16</v>
      </c>
      <c r="H919">
        <v>1696</v>
      </c>
      <c r="I919">
        <v>1166.672568</v>
      </c>
      <c r="J919">
        <v>529.32743219999998</v>
      </c>
      <c r="K919" s="5">
        <f>IF(Table1[[#This Row],[Revenue]]=0, 0, Table1[[#This Row],[Profit]]/Table1[[#This Row],[Revenue]])</f>
        <v>0.31210343879716979</v>
      </c>
    </row>
    <row r="920" spans="1:11" x14ac:dyDescent="0.35">
      <c r="A920" s="1">
        <v>45322</v>
      </c>
      <c r="B920" s="3" t="s">
        <v>27</v>
      </c>
      <c r="C920" s="3" t="s">
        <v>31</v>
      </c>
      <c r="D920" s="3" t="s">
        <v>30</v>
      </c>
      <c r="E920" s="4">
        <v>10</v>
      </c>
      <c r="F920" s="4">
        <v>904</v>
      </c>
      <c r="G920" s="3" t="s">
        <v>19</v>
      </c>
      <c r="H920">
        <v>9040</v>
      </c>
      <c r="I920">
        <v>5560.1856969999999</v>
      </c>
      <c r="J920">
        <v>3479.8143030000001</v>
      </c>
      <c r="K920" s="5">
        <f>IF(Table1[[#This Row],[Revenue]]=0, 0, Table1[[#This Row],[Profit]]/Table1[[#This Row],[Revenue]])</f>
        <v>0.38493521050884955</v>
      </c>
    </row>
    <row r="921" spans="1:11" x14ac:dyDescent="0.35">
      <c r="A921" s="1">
        <v>45331</v>
      </c>
      <c r="B921" s="3" t="s">
        <v>20</v>
      </c>
      <c r="C921" s="3" t="s">
        <v>11</v>
      </c>
      <c r="D921" s="3" t="s">
        <v>21</v>
      </c>
      <c r="E921" s="4">
        <v>1</v>
      </c>
      <c r="F921" s="4">
        <v>233</v>
      </c>
      <c r="G921" s="3" t="s">
        <v>13</v>
      </c>
      <c r="H921">
        <v>233</v>
      </c>
      <c r="I921">
        <v>197.8181653</v>
      </c>
      <c r="J921">
        <v>35.181834739999999</v>
      </c>
      <c r="K921" s="5">
        <f>IF(Table1[[#This Row],[Revenue]]=0, 0, Table1[[#This Row],[Profit]]/Table1[[#This Row],[Revenue]])</f>
        <v>0.15099499888412016</v>
      </c>
    </row>
    <row r="922" spans="1:11" x14ac:dyDescent="0.35">
      <c r="A922" s="1">
        <v>45520</v>
      </c>
      <c r="B922" s="3" t="s">
        <v>20</v>
      </c>
      <c r="C922" s="3" t="s">
        <v>26</v>
      </c>
      <c r="D922" s="3" t="s">
        <v>25</v>
      </c>
      <c r="E922" s="4">
        <v>7</v>
      </c>
      <c r="F922" s="4">
        <v>420</v>
      </c>
      <c r="G922" s="3" t="s">
        <v>19</v>
      </c>
      <c r="H922">
        <v>2940</v>
      </c>
      <c r="I922">
        <v>2563.3534260000001</v>
      </c>
      <c r="J922">
        <v>376.64657349999999</v>
      </c>
      <c r="K922" s="5">
        <f>IF(Table1[[#This Row],[Revenue]]=0, 0, Table1[[#This Row],[Profit]]/Table1[[#This Row],[Revenue]])</f>
        <v>0.12811107942176869</v>
      </c>
    </row>
    <row r="923" spans="1:11" x14ac:dyDescent="0.35">
      <c r="A923" s="1">
        <v>45327</v>
      </c>
      <c r="B923" s="3" t="s">
        <v>10</v>
      </c>
      <c r="C923" s="3" t="s">
        <v>31</v>
      </c>
      <c r="D923" s="3" t="s">
        <v>18</v>
      </c>
      <c r="E923" s="4">
        <v>17</v>
      </c>
      <c r="F923" s="4">
        <v>489</v>
      </c>
      <c r="G923" s="3" t="s">
        <v>19</v>
      </c>
      <c r="H923">
        <v>8313</v>
      </c>
      <c r="I923">
        <v>5267.8141089999999</v>
      </c>
      <c r="J923">
        <v>3045.1858910000001</v>
      </c>
      <c r="K923" s="5">
        <f>IF(Table1[[#This Row],[Revenue]]=0, 0, Table1[[#This Row],[Profit]]/Table1[[#This Row],[Revenue]])</f>
        <v>0.36631611824852639</v>
      </c>
    </row>
    <row r="924" spans="1:11" x14ac:dyDescent="0.35">
      <c r="A924" s="1">
        <v>45514</v>
      </c>
      <c r="B924" s="3" t="s">
        <v>20</v>
      </c>
      <c r="C924" s="3" t="s">
        <v>28</v>
      </c>
      <c r="D924" s="3" t="s">
        <v>15</v>
      </c>
      <c r="E924" s="4">
        <v>16</v>
      </c>
      <c r="F924" s="4">
        <v>533</v>
      </c>
      <c r="G924" s="3" t="s">
        <v>16</v>
      </c>
      <c r="H924">
        <v>8528</v>
      </c>
      <c r="I924">
        <v>6243.2380540000004</v>
      </c>
      <c r="J924">
        <v>2284.7619460000001</v>
      </c>
      <c r="K924" s="5">
        <f>IF(Table1[[#This Row],[Revenue]]=0, 0, Table1[[#This Row],[Profit]]/Table1[[#This Row],[Revenue]])</f>
        <v>0.26791298616322701</v>
      </c>
    </row>
    <row r="925" spans="1:11" x14ac:dyDescent="0.35">
      <c r="A925" s="1">
        <v>45297</v>
      </c>
      <c r="B925" s="3" t="s">
        <v>10</v>
      </c>
      <c r="C925" s="3" t="s">
        <v>14</v>
      </c>
      <c r="D925" s="3" t="s">
        <v>29</v>
      </c>
      <c r="E925" s="4">
        <v>3</v>
      </c>
      <c r="F925" s="4">
        <v>1145</v>
      </c>
      <c r="G925" s="3" t="s">
        <v>16</v>
      </c>
      <c r="H925">
        <v>3435</v>
      </c>
      <c r="I925">
        <v>3021.3057220000001</v>
      </c>
      <c r="J925">
        <v>413.69427810000002</v>
      </c>
      <c r="K925" s="5">
        <f>IF(Table1[[#This Row],[Revenue]]=0, 0, Table1[[#This Row],[Profit]]/Table1[[#This Row],[Revenue]])</f>
        <v>0.12043501545851529</v>
      </c>
    </row>
    <row r="926" spans="1:11" x14ac:dyDescent="0.35">
      <c r="A926" s="1">
        <v>45613</v>
      </c>
      <c r="B926" s="3" t="s">
        <v>23</v>
      </c>
      <c r="C926" s="3" t="s">
        <v>31</v>
      </c>
      <c r="D926" s="3" t="s">
        <v>12</v>
      </c>
      <c r="E926" s="4">
        <v>14</v>
      </c>
      <c r="F926" s="4">
        <v>972</v>
      </c>
      <c r="G926" s="3" t="s">
        <v>19</v>
      </c>
      <c r="H926">
        <v>13608</v>
      </c>
      <c r="I926">
        <v>8757.6121899999998</v>
      </c>
      <c r="J926">
        <v>4850.3878100000002</v>
      </c>
      <c r="K926" s="5">
        <f>IF(Table1[[#This Row],[Revenue]]=0, 0, Table1[[#This Row],[Profit]]/Table1[[#This Row],[Revenue]])</f>
        <v>0.35643649397413285</v>
      </c>
    </row>
    <row r="927" spans="1:11" x14ac:dyDescent="0.35">
      <c r="A927" s="1">
        <v>45511</v>
      </c>
      <c r="B927" s="3" t="s">
        <v>10</v>
      </c>
      <c r="C927" s="3" t="s">
        <v>14</v>
      </c>
      <c r="D927" s="3" t="s">
        <v>21</v>
      </c>
      <c r="E927" s="4">
        <v>10</v>
      </c>
      <c r="F927" s="4">
        <v>1723</v>
      </c>
      <c r="G927" s="3" t="s">
        <v>16</v>
      </c>
      <c r="H927">
        <v>17230</v>
      </c>
      <c r="I927">
        <v>11846.84966</v>
      </c>
      <c r="J927">
        <v>5383.1503400000001</v>
      </c>
      <c r="K927" s="5">
        <f>IF(Table1[[#This Row],[Revenue]]=0, 0, Table1[[#This Row],[Profit]]/Table1[[#This Row],[Revenue]])</f>
        <v>0.31242892280905399</v>
      </c>
    </row>
    <row r="928" spans="1:11" x14ac:dyDescent="0.35">
      <c r="A928" s="1">
        <v>45366</v>
      </c>
      <c r="B928" s="3" t="s">
        <v>20</v>
      </c>
      <c r="C928" s="3" t="s">
        <v>28</v>
      </c>
      <c r="D928" s="3" t="s">
        <v>32</v>
      </c>
      <c r="E928" s="4">
        <v>7</v>
      </c>
      <c r="F928" s="4">
        <v>1788</v>
      </c>
      <c r="G928" s="3" t="s">
        <v>16</v>
      </c>
      <c r="H928">
        <v>12516</v>
      </c>
      <c r="I928">
        <v>8652.0904559999999</v>
      </c>
      <c r="J928">
        <v>3863.9095440000001</v>
      </c>
      <c r="K928" s="5">
        <f>IF(Table1[[#This Row],[Revenue]]=0, 0, Table1[[#This Row],[Profit]]/Table1[[#This Row],[Revenue]])</f>
        <v>0.3087176049856184</v>
      </c>
    </row>
    <row r="929" spans="1:11" x14ac:dyDescent="0.35">
      <c r="A929" s="1">
        <v>45295</v>
      </c>
      <c r="B929" s="3" t="s">
        <v>20</v>
      </c>
      <c r="C929" s="3" t="s">
        <v>11</v>
      </c>
      <c r="D929" s="3" t="s">
        <v>18</v>
      </c>
      <c r="E929" s="4">
        <v>17</v>
      </c>
      <c r="F929" s="4">
        <v>1248</v>
      </c>
      <c r="G929" s="3" t="s">
        <v>13</v>
      </c>
      <c r="H929">
        <v>21216</v>
      </c>
      <c r="I929">
        <v>12920.915150000001</v>
      </c>
      <c r="J929">
        <v>8295.0848540000006</v>
      </c>
      <c r="K929" s="5">
        <f>IF(Table1[[#This Row],[Revenue]]=0, 0, Table1[[#This Row],[Profit]]/Table1[[#This Row],[Revenue]])</f>
        <v>0.39098250631598797</v>
      </c>
    </row>
    <row r="930" spans="1:11" x14ac:dyDescent="0.35">
      <c r="A930" s="1">
        <v>45626</v>
      </c>
      <c r="B930" s="3" t="s">
        <v>23</v>
      </c>
      <c r="C930" s="3" t="s">
        <v>22</v>
      </c>
      <c r="D930" s="3" t="s">
        <v>32</v>
      </c>
      <c r="E930" s="4">
        <v>6</v>
      </c>
      <c r="F930" s="4">
        <v>1202</v>
      </c>
      <c r="G930" s="3" t="s">
        <v>13</v>
      </c>
      <c r="H930">
        <v>7212</v>
      </c>
      <c r="I930">
        <v>4405.6807710000003</v>
      </c>
      <c r="J930">
        <v>2806.3192290000002</v>
      </c>
      <c r="K930" s="5">
        <f>IF(Table1[[#This Row],[Revenue]]=0, 0, Table1[[#This Row],[Profit]]/Table1[[#This Row],[Revenue]])</f>
        <v>0.38911802953410984</v>
      </c>
    </row>
    <row r="931" spans="1:11" x14ac:dyDescent="0.35">
      <c r="A931" s="1">
        <v>45425</v>
      </c>
      <c r="B931" s="3" t="s">
        <v>20</v>
      </c>
      <c r="C931" s="3" t="s">
        <v>17</v>
      </c>
      <c r="D931" s="3" t="s">
        <v>18</v>
      </c>
      <c r="E931" s="4">
        <v>4</v>
      </c>
      <c r="F931" s="4">
        <v>957</v>
      </c>
      <c r="G931" s="3" t="s">
        <v>19</v>
      </c>
      <c r="H931">
        <v>3828</v>
      </c>
      <c r="I931">
        <v>3390.9872829999999</v>
      </c>
      <c r="J931">
        <v>437.01271739999999</v>
      </c>
      <c r="K931" s="5">
        <f>IF(Table1[[#This Row],[Revenue]]=0, 0, Table1[[#This Row],[Profit]]/Table1[[#This Row],[Revenue]])</f>
        <v>0.11416215188087774</v>
      </c>
    </row>
    <row r="932" spans="1:11" x14ac:dyDescent="0.35">
      <c r="A932" s="1">
        <v>45409</v>
      </c>
      <c r="B932" s="3" t="s">
        <v>20</v>
      </c>
      <c r="C932" s="3" t="s">
        <v>11</v>
      </c>
      <c r="D932" s="3" t="s">
        <v>18</v>
      </c>
      <c r="E932" s="4">
        <v>17</v>
      </c>
      <c r="F932" s="4">
        <v>150</v>
      </c>
      <c r="G932" s="3" t="s">
        <v>13</v>
      </c>
      <c r="H932">
        <v>2550</v>
      </c>
      <c r="I932">
        <v>1966.8858459999999</v>
      </c>
      <c r="J932">
        <v>583.11415409999995</v>
      </c>
      <c r="K932" s="5">
        <f>IF(Table1[[#This Row],[Revenue]]=0, 0, Table1[[#This Row],[Profit]]/Table1[[#This Row],[Revenue]])</f>
        <v>0.22867221729411763</v>
      </c>
    </row>
    <row r="933" spans="1:11" x14ac:dyDescent="0.35">
      <c r="A933" s="1">
        <v>45385</v>
      </c>
      <c r="B933" s="3" t="s">
        <v>27</v>
      </c>
      <c r="C933" s="3" t="s">
        <v>14</v>
      </c>
      <c r="D933" s="3" t="s">
        <v>15</v>
      </c>
      <c r="E933" s="4">
        <v>9</v>
      </c>
      <c r="F933" s="4">
        <v>1851</v>
      </c>
      <c r="G933" s="3" t="s">
        <v>16</v>
      </c>
      <c r="H933">
        <v>16659</v>
      </c>
      <c r="I933">
        <v>11527.936320000001</v>
      </c>
      <c r="J933">
        <v>5131.0636839999997</v>
      </c>
      <c r="K933" s="5">
        <f>IF(Table1[[#This Row],[Revenue]]=0, 0, Table1[[#This Row],[Profit]]/Table1[[#This Row],[Revenue]])</f>
        <v>0.30800550357164291</v>
      </c>
    </row>
    <row r="934" spans="1:11" x14ac:dyDescent="0.35">
      <c r="A934" s="1">
        <v>45353</v>
      </c>
      <c r="B934" s="3" t="s">
        <v>27</v>
      </c>
      <c r="C934" s="3" t="s">
        <v>14</v>
      </c>
      <c r="D934" s="3" t="s">
        <v>15</v>
      </c>
      <c r="E934" s="4">
        <v>4</v>
      </c>
      <c r="F934" s="4">
        <v>275</v>
      </c>
      <c r="G934" s="3" t="s">
        <v>16</v>
      </c>
      <c r="H934">
        <v>1100</v>
      </c>
      <c r="I934">
        <v>784.96263799999997</v>
      </c>
      <c r="J934">
        <v>315.03736199999997</v>
      </c>
      <c r="K934" s="5">
        <f>IF(Table1[[#This Row],[Revenue]]=0, 0, Table1[[#This Row],[Profit]]/Table1[[#This Row],[Revenue]])</f>
        <v>0.2863976018181818</v>
      </c>
    </row>
    <row r="935" spans="1:11" x14ac:dyDescent="0.35">
      <c r="A935" s="1">
        <v>45485</v>
      </c>
      <c r="B935" s="3" t="s">
        <v>23</v>
      </c>
      <c r="C935" s="3" t="s">
        <v>17</v>
      </c>
      <c r="D935" s="3" t="s">
        <v>15</v>
      </c>
      <c r="E935" s="4">
        <v>7</v>
      </c>
      <c r="F935" s="4">
        <v>969</v>
      </c>
      <c r="G935" s="3" t="s">
        <v>19</v>
      </c>
      <c r="H935">
        <v>6783</v>
      </c>
      <c r="I935">
        <v>5524.4338760000001</v>
      </c>
      <c r="J935">
        <v>1258.5661239999999</v>
      </c>
      <c r="K935" s="5">
        <f>IF(Table1[[#This Row],[Revenue]]=0, 0, Table1[[#This Row],[Profit]]/Table1[[#This Row],[Revenue]])</f>
        <v>0.18554712133274362</v>
      </c>
    </row>
    <row r="936" spans="1:11" x14ac:dyDescent="0.35">
      <c r="A936" s="1">
        <v>45494</v>
      </c>
      <c r="B936" s="3" t="s">
        <v>27</v>
      </c>
      <c r="C936" s="3" t="s">
        <v>31</v>
      </c>
      <c r="D936" s="3" t="s">
        <v>30</v>
      </c>
      <c r="E936" s="4">
        <v>17</v>
      </c>
      <c r="F936" s="4">
        <v>1065</v>
      </c>
      <c r="G936" s="3" t="s">
        <v>19</v>
      </c>
      <c r="H936">
        <v>18105</v>
      </c>
      <c r="I936">
        <v>12100.08063</v>
      </c>
      <c r="J936">
        <v>6004.919371</v>
      </c>
      <c r="K936" s="5">
        <f>IF(Table1[[#This Row],[Revenue]]=0, 0, Table1[[#This Row],[Profit]]/Table1[[#This Row],[Revenue]])</f>
        <v>0.33167187909417289</v>
      </c>
    </row>
    <row r="937" spans="1:11" x14ac:dyDescent="0.35">
      <c r="A937" s="1">
        <v>45317</v>
      </c>
      <c r="B937" s="3" t="s">
        <v>10</v>
      </c>
      <c r="C937" s="3" t="s">
        <v>43</v>
      </c>
      <c r="D937" s="3" t="s">
        <v>18</v>
      </c>
      <c r="E937" s="4">
        <v>8</v>
      </c>
      <c r="F937" s="4">
        <v>1369</v>
      </c>
      <c r="G937" s="3" t="s">
        <v>19</v>
      </c>
      <c r="H937">
        <v>10952</v>
      </c>
      <c r="I937">
        <v>6905.7967699999999</v>
      </c>
      <c r="J937">
        <v>4046.2032300000001</v>
      </c>
      <c r="K937" s="5">
        <f>IF(Table1[[#This Row],[Revenue]]=0, 0, Table1[[#This Row],[Profit]]/Table1[[#This Row],[Revenue]])</f>
        <v>0.36944879747991233</v>
      </c>
    </row>
    <row r="938" spans="1:11" x14ac:dyDescent="0.35">
      <c r="A938" s="1">
        <v>45591</v>
      </c>
      <c r="B938" s="3" t="s">
        <v>27</v>
      </c>
      <c r="C938" s="3" t="s">
        <v>26</v>
      </c>
      <c r="D938" s="3" t="s">
        <v>32</v>
      </c>
      <c r="E938" s="4">
        <v>15</v>
      </c>
      <c r="F938" s="4">
        <v>1229</v>
      </c>
      <c r="G938" s="3" t="s">
        <v>19</v>
      </c>
      <c r="H938">
        <v>18435</v>
      </c>
      <c r="I938">
        <v>12059.614820000001</v>
      </c>
      <c r="J938">
        <v>6375.3851750000003</v>
      </c>
      <c r="K938" s="5">
        <f>IF(Table1[[#This Row],[Revenue]]=0, 0, Table1[[#This Row],[Profit]]/Table1[[#This Row],[Revenue]])</f>
        <v>0.34583049498237051</v>
      </c>
    </row>
    <row r="939" spans="1:11" x14ac:dyDescent="0.35">
      <c r="A939" s="1">
        <v>45424</v>
      </c>
      <c r="B939" s="3" t="s">
        <v>23</v>
      </c>
      <c r="C939" s="3" t="s">
        <v>28</v>
      </c>
      <c r="D939" s="3" t="s">
        <v>15</v>
      </c>
      <c r="E939" s="4">
        <v>8</v>
      </c>
      <c r="F939" s="4">
        <v>0</v>
      </c>
      <c r="G939" s="3" t="s">
        <v>16</v>
      </c>
      <c r="H939">
        <v>0</v>
      </c>
      <c r="I939">
        <v>0</v>
      </c>
      <c r="J939">
        <v>0</v>
      </c>
      <c r="K939" s="5">
        <f>IF(Table1[[#This Row],[Revenue]]=0, 0, Table1[[#This Row],[Profit]]/Table1[[#This Row],[Revenue]])</f>
        <v>0</v>
      </c>
    </row>
    <row r="940" spans="1:11" x14ac:dyDescent="0.35">
      <c r="A940" s="1">
        <v>45617</v>
      </c>
      <c r="B940" s="3" t="s">
        <v>23</v>
      </c>
      <c r="C940" s="3" t="s">
        <v>11</v>
      </c>
      <c r="D940" s="3" t="s">
        <v>25</v>
      </c>
      <c r="E940" s="4">
        <v>16</v>
      </c>
      <c r="F940" s="4">
        <v>1439</v>
      </c>
      <c r="G940" s="3" t="s">
        <v>13</v>
      </c>
      <c r="H940">
        <v>23024</v>
      </c>
      <c r="I940">
        <v>16763.459750000002</v>
      </c>
      <c r="J940">
        <v>6260.5402539999995</v>
      </c>
      <c r="K940" s="5">
        <f>IF(Table1[[#This Row],[Revenue]]=0, 0, Table1[[#This Row],[Profit]]/Table1[[#This Row],[Revenue]])</f>
        <v>0.27191366634815844</v>
      </c>
    </row>
    <row r="941" spans="1:11" x14ac:dyDescent="0.35">
      <c r="A941" s="1">
        <v>45409</v>
      </c>
      <c r="B941" s="3" t="s">
        <v>23</v>
      </c>
      <c r="C941" s="3" t="s">
        <v>14</v>
      </c>
      <c r="D941" s="3" t="s">
        <v>15</v>
      </c>
      <c r="E941" s="4">
        <v>19</v>
      </c>
      <c r="F941" s="4">
        <v>401</v>
      </c>
      <c r="G941" s="3" t="s">
        <v>16</v>
      </c>
      <c r="H941">
        <v>7619</v>
      </c>
      <c r="I941">
        <v>4661.8473469999999</v>
      </c>
      <c r="J941">
        <v>2957.1526530000001</v>
      </c>
      <c r="K941" s="5">
        <f>IF(Table1[[#This Row],[Revenue]]=0, 0, Table1[[#This Row],[Profit]]/Table1[[#This Row],[Revenue]])</f>
        <v>0.38812871151069694</v>
      </c>
    </row>
    <row r="942" spans="1:11" x14ac:dyDescent="0.35">
      <c r="A942" s="1">
        <v>45615</v>
      </c>
      <c r="B942" s="3" t="s">
        <v>27</v>
      </c>
      <c r="C942" s="3" t="s">
        <v>22</v>
      </c>
      <c r="D942" s="3" t="s">
        <v>32</v>
      </c>
      <c r="E942" s="4">
        <v>11</v>
      </c>
      <c r="F942" s="4">
        <v>647</v>
      </c>
      <c r="G942" s="3" t="s">
        <v>13</v>
      </c>
      <c r="H942">
        <v>7117</v>
      </c>
      <c r="I942">
        <v>6330.5673539999998</v>
      </c>
      <c r="J942">
        <v>786.4326456</v>
      </c>
      <c r="K942" s="5">
        <f>IF(Table1[[#This Row],[Revenue]]=0, 0, Table1[[#This Row],[Profit]]/Table1[[#This Row],[Revenue]])</f>
        <v>0.1105005824926233</v>
      </c>
    </row>
    <row r="943" spans="1:11" x14ac:dyDescent="0.35">
      <c r="A943" s="1">
        <v>45566</v>
      </c>
      <c r="B943" s="3" t="s">
        <v>10</v>
      </c>
      <c r="C943" s="3" t="s">
        <v>28</v>
      </c>
      <c r="D943" s="3" t="s">
        <v>32</v>
      </c>
      <c r="E943" s="4">
        <v>2</v>
      </c>
      <c r="F943" s="4">
        <v>815</v>
      </c>
      <c r="G943" s="3" t="s">
        <v>16</v>
      </c>
      <c r="H943">
        <v>1630</v>
      </c>
      <c r="I943">
        <v>1284.746261</v>
      </c>
      <c r="J943">
        <v>345.25373889999997</v>
      </c>
      <c r="K943" s="5">
        <f>IF(Table1[[#This Row],[Revenue]]=0, 0, Table1[[#This Row],[Profit]]/Table1[[#This Row],[Revenue]])</f>
        <v>0.21181210975460121</v>
      </c>
    </row>
    <row r="944" spans="1:11" x14ac:dyDescent="0.35">
      <c r="A944" s="1">
        <v>45503</v>
      </c>
      <c r="B944" s="3" t="s">
        <v>20</v>
      </c>
      <c r="C944" s="3" t="s">
        <v>11</v>
      </c>
      <c r="D944" s="3" t="s">
        <v>12</v>
      </c>
      <c r="E944" s="4">
        <v>17</v>
      </c>
      <c r="F944" s="4">
        <v>878</v>
      </c>
      <c r="G944" s="3" t="s">
        <v>13</v>
      </c>
      <c r="H944">
        <v>14926</v>
      </c>
      <c r="I944">
        <v>9639.3457780000008</v>
      </c>
      <c r="J944">
        <v>5286.6542220000001</v>
      </c>
      <c r="K944" s="5">
        <f>IF(Table1[[#This Row],[Revenue]]=0, 0, Table1[[#This Row],[Profit]]/Table1[[#This Row],[Revenue]])</f>
        <v>0.35419095685381213</v>
      </c>
    </row>
    <row r="945" spans="1:11" x14ac:dyDescent="0.35">
      <c r="A945" s="1">
        <v>45516</v>
      </c>
      <c r="B945" s="3" t="s">
        <v>10</v>
      </c>
      <c r="C945" s="3" t="s">
        <v>11</v>
      </c>
      <c r="D945" s="3" t="s">
        <v>18</v>
      </c>
      <c r="E945" s="4">
        <v>16</v>
      </c>
      <c r="F945" s="4">
        <v>367</v>
      </c>
      <c r="G945" s="3" t="s">
        <v>13</v>
      </c>
      <c r="H945">
        <v>5872</v>
      </c>
      <c r="I945">
        <v>3826.9951190000002</v>
      </c>
      <c r="J945">
        <v>2045.0048810000001</v>
      </c>
      <c r="K945" s="5">
        <f>IF(Table1[[#This Row],[Revenue]]=0, 0, Table1[[#This Row],[Profit]]/Table1[[#This Row],[Revenue]])</f>
        <v>0.34826377401226161</v>
      </c>
    </row>
    <row r="946" spans="1:11" x14ac:dyDescent="0.35">
      <c r="A946" s="1">
        <v>45311</v>
      </c>
      <c r="B946" s="3" t="s">
        <v>10</v>
      </c>
      <c r="C946" s="3" t="s">
        <v>28</v>
      </c>
      <c r="D946" s="3" t="s">
        <v>15</v>
      </c>
      <c r="E946" s="4">
        <v>15</v>
      </c>
      <c r="F946" s="4">
        <v>1293</v>
      </c>
      <c r="G946" s="3" t="s">
        <v>16</v>
      </c>
      <c r="H946">
        <v>19395</v>
      </c>
      <c r="I946">
        <v>14952.54701</v>
      </c>
      <c r="J946">
        <v>4442.452988</v>
      </c>
      <c r="K946" s="5">
        <f>IF(Table1[[#This Row],[Revenue]]=0, 0, Table1[[#This Row],[Profit]]/Table1[[#This Row],[Revenue]])</f>
        <v>0.22905145594225315</v>
      </c>
    </row>
    <row r="947" spans="1:11" x14ac:dyDescent="0.35">
      <c r="A947" s="1">
        <v>45404</v>
      </c>
      <c r="B947" s="3" t="s">
        <v>20</v>
      </c>
      <c r="C947" s="3" t="s">
        <v>24</v>
      </c>
      <c r="D947" s="3" t="s">
        <v>32</v>
      </c>
      <c r="E947" s="4">
        <v>13</v>
      </c>
      <c r="F947" s="4">
        <v>1109</v>
      </c>
      <c r="G947" s="3" t="s">
        <v>19</v>
      </c>
      <c r="H947">
        <v>14417</v>
      </c>
      <c r="I947">
        <v>10192.38256</v>
      </c>
      <c r="J947">
        <v>4224.6174430000001</v>
      </c>
      <c r="K947" s="5">
        <f>IF(Table1[[#This Row],[Revenue]]=0, 0, Table1[[#This Row],[Profit]]/Table1[[#This Row],[Revenue]])</f>
        <v>0.29303027280294097</v>
      </c>
    </row>
    <row r="948" spans="1:11" x14ac:dyDescent="0.35">
      <c r="A948" s="1">
        <v>45431</v>
      </c>
      <c r="B948" s="3" t="s">
        <v>20</v>
      </c>
      <c r="C948" s="3" t="s">
        <v>11</v>
      </c>
      <c r="D948" s="3" t="s">
        <v>30</v>
      </c>
      <c r="E948" s="4">
        <v>15</v>
      </c>
      <c r="F948" s="4">
        <v>650</v>
      </c>
      <c r="G948" s="3" t="s">
        <v>13</v>
      </c>
      <c r="H948">
        <v>9750</v>
      </c>
      <c r="I948">
        <v>8114.730227</v>
      </c>
      <c r="J948">
        <v>1635.269773</v>
      </c>
      <c r="K948" s="5">
        <f>IF(Table1[[#This Row],[Revenue]]=0, 0, Table1[[#This Row],[Profit]]/Table1[[#This Row],[Revenue]])</f>
        <v>0.16771997671794872</v>
      </c>
    </row>
    <row r="949" spans="1:11" x14ac:dyDescent="0.35">
      <c r="A949" s="1">
        <v>45338</v>
      </c>
      <c r="B949" s="3" t="s">
        <v>27</v>
      </c>
      <c r="C949" s="3" t="s">
        <v>24</v>
      </c>
      <c r="D949" s="3" t="s">
        <v>30</v>
      </c>
      <c r="E949" s="4">
        <v>4</v>
      </c>
      <c r="F949" s="4">
        <v>1578</v>
      </c>
      <c r="G949" s="3" t="s">
        <v>19</v>
      </c>
      <c r="H949">
        <v>6312</v>
      </c>
      <c r="I949">
        <v>4820.7391610000004</v>
      </c>
      <c r="J949">
        <v>1491.260839</v>
      </c>
      <c r="K949" s="5">
        <f>IF(Table1[[#This Row],[Revenue]]=0, 0, Table1[[#This Row],[Profit]]/Table1[[#This Row],[Revenue]])</f>
        <v>0.23625805434093791</v>
      </c>
    </row>
    <row r="950" spans="1:11" x14ac:dyDescent="0.35">
      <c r="A950" s="1">
        <v>45292</v>
      </c>
      <c r="B950" s="3" t="s">
        <v>27</v>
      </c>
      <c r="C950" s="3" t="s">
        <v>26</v>
      </c>
      <c r="D950" s="3" t="s">
        <v>15</v>
      </c>
      <c r="E950" s="4">
        <v>16</v>
      </c>
      <c r="F950" s="4">
        <v>1774</v>
      </c>
      <c r="G950" s="3" t="s">
        <v>19</v>
      </c>
      <c r="H950">
        <v>28384</v>
      </c>
      <c r="I950">
        <v>20720.324619999999</v>
      </c>
      <c r="J950">
        <v>7663.6753829999998</v>
      </c>
      <c r="K950" s="5">
        <f>IF(Table1[[#This Row],[Revenue]]=0, 0, Table1[[#This Row],[Profit]]/Table1[[#This Row],[Revenue]])</f>
        <v>0.26999983733793687</v>
      </c>
    </row>
    <row r="951" spans="1:11" x14ac:dyDescent="0.35">
      <c r="A951" s="1">
        <v>45381</v>
      </c>
      <c r="B951" s="3" t="s">
        <v>27</v>
      </c>
      <c r="C951" s="3" t="s">
        <v>26</v>
      </c>
      <c r="D951" s="3" t="s">
        <v>25</v>
      </c>
      <c r="E951" s="4">
        <v>12</v>
      </c>
      <c r="F951" s="4">
        <v>1415</v>
      </c>
      <c r="G951" s="3" t="s">
        <v>19</v>
      </c>
      <c r="H951">
        <v>16980</v>
      </c>
      <c r="I951">
        <v>15093.42138</v>
      </c>
      <c r="J951">
        <v>1886.578616</v>
      </c>
      <c r="K951" s="5">
        <f>IF(Table1[[#This Row],[Revenue]]=0, 0, Table1[[#This Row],[Profit]]/Table1[[#This Row],[Revenue]])</f>
        <v>0.11110592555948175</v>
      </c>
    </row>
    <row r="952" spans="1:11" x14ac:dyDescent="0.35">
      <c r="A952" s="1">
        <v>45433</v>
      </c>
      <c r="B952" s="3" t="s">
        <v>27</v>
      </c>
      <c r="C952" s="3" t="s">
        <v>11</v>
      </c>
      <c r="D952" s="3" t="s">
        <v>32</v>
      </c>
      <c r="E952" s="4">
        <v>4</v>
      </c>
      <c r="F952" s="4">
        <v>1687</v>
      </c>
      <c r="G952" s="3" t="s">
        <v>13</v>
      </c>
      <c r="H952">
        <v>6748</v>
      </c>
      <c r="I952">
        <v>4839.7919009999996</v>
      </c>
      <c r="J952">
        <v>1908.2080989999999</v>
      </c>
      <c r="K952" s="5">
        <f>IF(Table1[[#This Row],[Revenue]]=0, 0, Table1[[#This Row],[Profit]]/Table1[[#This Row],[Revenue]])</f>
        <v>0.28278128319502072</v>
      </c>
    </row>
    <row r="953" spans="1:11" x14ac:dyDescent="0.35">
      <c r="A953" s="1">
        <v>45611</v>
      </c>
      <c r="B953" s="3" t="s">
        <v>27</v>
      </c>
      <c r="C953" s="3" t="s">
        <v>26</v>
      </c>
      <c r="D953" s="3" t="s">
        <v>12</v>
      </c>
      <c r="E953" s="4">
        <v>3</v>
      </c>
      <c r="F953" s="4">
        <v>1922</v>
      </c>
      <c r="G953" s="3" t="s">
        <v>19</v>
      </c>
      <c r="H953">
        <v>5766</v>
      </c>
      <c r="I953">
        <v>4152.5767759999999</v>
      </c>
      <c r="J953">
        <v>1613.4232239999999</v>
      </c>
      <c r="K953" s="5">
        <f>IF(Table1[[#This Row],[Revenue]]=0, 0, Table1[[#This Row],[Profit]]/Table1[[#This Row],[Revenue]])</f>
        <v>0.27981672285813386</v>
      </c>
    </row>
    <row r="954" spans="1:11" x14ac:dyDescent="0.35">
      <c r="A954" s="1">
        <v>45329</v>
      </c>
      <c r="B954" s="3" t="s">
        <v>20</v>
      </c>
      <c r="C954" s="3" t="s">
        <v>22</v>
      </c>
      <c r="D954" s="3" t="s">
        <v>18</v>
      </c>
      <c r="E954" s="4">
        <v>17</v>
      </c>
      <c r="F954" s="4">
        <v>1924</v>
      </c>
      <c r="G954" s="3" t="s">
        <v>13</v>
      </c>
      <c r="H954">
        <v>32708</v>
      </c>
      <c r="I954">
        <v>26157.6253</v>
      </c>
      <c r="J954">
        <v>6550.3746959999999</v>
      </c>
      <c r="K954" s="5">
        <f>IF(Table1[[#This Row],[Revenue]]=0, 0, Table1[[#This Row],[Profit]]/Table1[[#This Row],[Revenue]])</f>
        <v>0.20026827369450897</v>
      </c>
    </row>
    <row r="955" spans="1:11" x14ac:dyDescent="0.35">
      <c r="A955" s="1">
        <v>45584</v>
      </c>
      <c r="B955" s="3" t="s">
        <v>10</v>
      </c>
      <c r="C955" s="3" t="s">
        <v>24</v>
      </c>
      <c r="D955" s="3" t="s">
        <v>18</v>
      </c>
      <c r="E955" s="4">
        <v>18</v>
      </c>
      <c r="F955" s="4">
        <v>1264</v>
      </c>
      <c r="G955" s="3" t="s">
        <v>19</v>
      </c>
      <c r="H955">
        <v>22752</v>
      </c>
      <c r="I955">
        <v>19176.37702</v>
      </c>
      <c r="J955">
        <v>3575.6229760000001</v>
      </c>
      <c r="K955" s="5">
        <f>IF(Table1[[#This Row],[Revenue]]=0, 0, Table1[[#This Row],[Profit]]/Table1[[#This Row],[Revenue]])</f>
        <v>0.15715642475386779</v>
      </c>
    </row>
    <row r="956" spans="1:11" x14ac:dyDescent="0.35">
      <c r="A956" s="1">
        <v>45430</v>
      </c>
      <c r="B956" s="3" t="s">
        <v>27</v>
      </c>
      <c r="C956" s="3" t="s">
        <v>24</v>
      </c>
      <c r="D956" s="3" t="s">
        <v>25</v>
      </c>
      <c r="E956" s="4">
        <v>18</v>
      </c>
      <c r="F956" s="4">
        <v>1269</v>
      </c>
      <c r="G956" s="3" t="s">
        <v>19</v>
      </c>
      <c r="H956">
        <v>22842</v>
      </c>
      <c r="I956">
        <v>17996.400850000002</v>
      </c>
      <c r="J956">
        <v>4845.5991540000005</v>
      </c>
      <c r="K956" s="5">
        <f>IF(Table1[[#This Row],[Revenue]]=0, 0, Table1[[#This Row],[Profit]]/Table1[[#This Row],[Revenue]])</f>
        <v>0.21213550275807724</v>
      </c>
    </row>
    <row r="957" spans="1:11" x14ac:dyDescent="0.35">
      <c r="A957" s="1">
        <v>45647</v>
      </c>
      <c r="B957" s="3" t="s">
        <v>27</v>
      </c>
      <c r="C957" s="3" t="s">
        <v>11</v>
      </c>
      <c r="D957" s="3" t="s">
        <v>12</v>
      </c>
      <c r="E957" s="4">
        <v>17</v>
      </c>
      <c r="F957" s="4">
        <v>1548</v>
      </c>
      <c r="G957" s="3" t="s">
        <v>13</v>
      </c>
      <c r="H957">
        <v>26316</v>
      </c>
      <c r="I957">
        <v>21304.987980000002</v>
      </c>
      <c r="J957">
        <v>5011.0120189999998</v>
      </c>
      <c r="K957" s="5">
        <f>IF(Table1[[#This Row],[Revenue]]=0, 0, Table1[[#This Row],[Profit]]/Table1[[#This Row],[Revenue]])</f>
        <v>0.1904169333865329</v>
      </c>
    </row>
    <row r="958" spans="1:11" x14ac:dyDescent="0.35">
      <c r="A958" s="1">
        <v>45624</v>
      </c>
      <c r="B958" s="3" t="s">
        <v>10</v>
      </c>
      <c r="C958" s="3" t="s">
        <v>26</v>
      </c>
      <c r="D958" s="3" t="s">
        <v>18</v>
      </c>
      <c r="E958" s="4">
        <v>12</v>
      </c>
      <c r="F958" s="4">
        <v>413</v>
      </c>
      <c r="G958" s="3" t="s">
        <v>19</v>
      </c>
      <c r="H958">
        <v>4956</v>
      </c>
      <c r="I958">
        <v>3528.0746559999998</v>
      </c>
      <c r="J958">
        <v>1427.925344</v>
      </c>
      <c r="K958" s="5">
        <f>IF(Table1[[#This Row],[Revenue]]=0, 0, Table1[[#This Row],[Profit]]/Table1[[#This Row],[Revenue]])</f>
        <v>0.28812052945924133</v>
      </c>
    </row>
    <row r="959" spans="1:11" x14ac:dyDescent="0.35">
      <c r="A959" s="1">
        <v>45550</v>
      </c>
      <c r="B959" s="3" t="s">
        <v>27</v>
      </c>
      <c r="C959" s="3" t="s">
        <v>43</v>
      </c>
      <c r="D959" s="3" t="s">
        <v>12</v>
      </c>
      <c r="E959" s="4">
        <v>4</v>
      </c>
      <c r="F959" s="4">
        <v>283</v>
      </c>
      <c r="G959" s="3" t="s">
        <v>19</v>
      </c>
      <c r="H959">
        <v>1132</v>
      </c>
      <c r="I959">
        <v>842.03712570000005</v>
      </c>
      <c r="J959">
        <v>289.96287430000001</v>
      </c>
      <c r="K959" s="5">
        <f>IF(Table1[[#This Row],[Revenue]]=0, 0, Table1[[#This Row],[Profit]]/Table1[[#This Row],[Revenue]])</f>
        <v>0.25615094902826857</v>
      </c>
    </row>
    <row r="960" spans="1:11" x14ac:dyDescent="0.35">
      <c r="A960" s="1">
        <v>45452</v>
      </c>
      <c r="B960" s="3" t="s">
        <v>10</v>
      </c>
      <c r="C960" s="3" t="s">
        <v>14</v>
      </c>
      <c r="D960" s="3" t="s">
        <v>29</v>
      </c>
      <c r="E960" s="4">
        <v>12</v>
      </c>
      <c r="F960" s="4">
        <v>1787</v>
      </c>
      <c r="G960" s="3" t="s">
        <v>16</v>
      </c>
      <c r="H960">
        <v>21444</v>
      </c>
      <c r="I960">
        <v>14133.966119999999</v>
      </c>
      <c r="J960">
        <v>7310.0338819999997</v>
      </c>
      <c r="K960" s="5">
        <f>IF(Table1[[#This Row],[Revenue]]=0, 0, Table1[[#This Row],[Profit]]/Table1[[#This Row],[Revenue]])</f>
        <v>0.34088947407200149</v>
      </c>
    </row>
    <row r="961" spans="1:11" x14ac:dyDescent="0.35">
      <c r="A961" s="1">
        <v>45469</v>
      </c>
      <c r="B961" s="3" t="s">
        <v>37</v>
      </c>
      <c r="C961" s="3" t="s">
        <v>28</v>
      </c>
      <c r="D961" s="3" t="s">
        <v>15</v>
      </c>
      <c r="E961" s="4">
        <v>15</v>
      </c>
      <c r="F961" s="4">
        <v>812</v>
      </c>
      <c r="G961" s="3" t="s">
        <v>16</v>
      </c>
      <c r="H961">
        <v>12180</v>
      </c>
      <c r="I961">
        <v>9793.6206770000008</v>
      </c>
      <c r="J961">
        <v>2386.3793230000001</v>
      </c>
      <c r="K961" s="5">
        <f>IF(Table1[[#This Row],[Revenue]]=0, 0, Table1[[#This Row],[Profit]]/Table1[[#This Row],[Revenue]])</f>
        <v>0.19592605279146141</v>
      </c>
    </row>
    <row r="962" spans="1:11" x14ac:dyDescent="0.35">
      <c r="A962" s="1">
        <v>45301</v>
      </c>
      <c r="B962" s="3" t="s">
        <v>20</v>
      </c>
      <c r="C962" s="3" t="s">
        <v>28</v>
      </c>
      <c r="D962" s="3" t="s">
        <v>18</v>
      </c>
      <c r="E962" s="4">
        <v>16</v>
      </c>
      <c r="F962" s="4">
        <v>227</v>
      </c>
      <c r="G962" s="3" t="s">
        <v>16</v>
      </c>
      <c r="H962">
        <v>3632</v>
      </c>
      <c r="I962">
        <v>2420.4940339999998</v>
      </c>
      <c r="J962">
        <v>1211.5059659999999</v>
      </c>
      <c r="K962" s="5">
        <f>IF(Table1[[#This Row],[Revenue]]=0, 0, Table1[[#This Row],[Profit]]/Table1[[#This Row],[Revenue]])</f>
        <v>0.33356441795154185</v>
      </c>
    </row>
    <row r="963" spans="1:11" x14ac:dyDescent="0.35">
      <c r="A963" s="1">
        <v>45552</v>
      </c>
      <c r="B963" s="3" t="s">
        <v>23</v>
      </c>
      <c r="C963" s="3" t="s">
        <v>24</v>
      </c>
      <c r="D963" s="3" t="s">
        <v>30</v>
      </c>
      <c r="E963" s="4">
        <v>5</v>
      </c>
      <c r="F963" s="4">
        <v>1410</v>
      </c>
      <c r="G963" s="3" t="s">
        <v>19</v>
      </c>
      <c r="H963">
        <v>7050</v>
      </c>
      <c r="I963">
        <v>4232.6581219999998</v>
      </c>
      <c r="J963">
        <v>2817.3418780000002</v>
      </c>
      <c r="K963" s="5">
        <f>IF(Table1[[#This Row],[Revenue]]=0, 0, Table1[[#This Row],[Profit]]/Table1[[#This Row],[Revenue]])</f>
        <v>0.39962296141843973</v>
      </c>
    </row>
    <row r="964" spans="1:11" x14ac:dyDescent="0.35">
      <c r="A964" s="1">
        <v>45429</v>
      </c>
      <c r="B964" s="3" t="s">
        <v>20</v>
      </c>
      <c r="C964" s="3" t="s">
        <v>11</v>
      </c>
      <c r="D964" s="3" t="s">
        <v>32</v>
      </c>
      <c r="E964" s="4">
        <v>15</v>
      </c>
      <c r="F964" s="4">
        <v>1946</v>
      </c>
      <c r="G964" s="3" t="s">
        <v>13</v>
      </c>
      <c r="H964">
        <v>29190</v>
      </c>
      <c r="I964">
        <v>25690.954880000001</v>
      </c>
      <c r="J964">
        <v>3499.0451170000001</v>
      </c>
      <c r="K964" s="5">
        <f>IF(Table1[[#This Row],[Revenue]]=0, 0, Table1[[#This Row],[Profit]]/Table1[[#This Row],[Revenue]])</f>
        <v>0.11987136406303529</v>
      </c>
    </row>
    <row r="965" spans="1:11" x14ac:dyDescent="0.35">
      <c r="A965" s="1">
        <v>45463</v>
      </c>
      <c r="B965" s="3" t="s">
        <v>23</v>
      </c>
      <c r="C965" s="3" t="s">
        <v>11</v>
      </c>
      <c r="D965" s="3" t="s">
        <v>12</v>
      </c>
      <c r="E965" s="4">
        <v>17</v>
      </c>
      <c r="F965" s="4">
        <v>1376</v>
      </c>
      <c r="G965" s="3" t="s">
        <v>13</v>
      </c>
      <c r="H965">
        <v>23392</v>
      </c>
      <c r="I965">
        <v>16182.69256</v>
      </c>
      <c r="J965">
        <v>7209.3074429999997</v>
      </c>
      <c r="K965" s="5">
        <f>IF(Table1[[#This Row],[Revenue]]=0, 0, Table1[[#This Row],[Profit]]/Table1[[#This Row],[Revenue]])</f>
        <v>0.30819542762482899</v>
      </c>
    </row>
    <row r="966" spans="1:11" x14ac:dyDescent="0.35">
      <c r="A966" s="1">
        <v>45304</v>
      </c>
      <c r="B966" s="3" t="s">
        <v>23</v>
      </c>
      <c r="C966" s="3" t="s">
        <v>22</v>
      </c>
      <c r="D966" s="3" t="s">
        <v>12</v>
      </c>
      <c r="E966" s="4">
        <v>18</v>
      </c>
      <c r="F966" s="4">
        <v>1901</v>
      </c>
      <c r="G966" s="3" t="s">
        <v>13</v>
      </c>
      <c r="H966">
        <v>34218</v>
      </c>
      <c r="I966">
        <v>22549.306570000001</v>
      </c>
      <c r="J966">
        <v>11668.693429999999</v>
      </c>
      <c r="K966" s="5">
        <f>IF(Table1[[#This Row],[Revenue]]=0, 0, Table1[[#This Row],[Profit]]/Table1[[#This Row],[Revenue]])</f>
        <v>0.34101038722309895</v>
      </c>
    </row>
    <row r="967" spans="1:11" x14ac:dyDescent="0.35">
      <c r="A967" s="1">
        <v>45459</v>
      </c>
      <c r="B967" s="3" t="s">
        <v>23</v>
      </c>
      <c r="C967" s="3" t="s">
        <v>31</v>
      </c>
      <c r="D967" s="3" t="s">
        <v>21</v>
      </c>
      <c r="E967" s="4">
        <v>5</v>
      </c>
      <c r="F967" s="4">
        <v>799</v>
      </c>
      <c r="G967" s="3" t="s">
        <v>19</v>
      </c>
      <c r="H967">
        <v>3995</v>
      </c>
      <c r="I967">
        <v>2718.373857</v>
      </c>
      <c r="J967">
        <v>1276.626143</v>
      </c>
      <c r="K967" s="5">
        <f>IF(Table1[[#This Row],[Revenue]]=0, 0, Table1[[#This Row],[Profit]]/Table1[[#This Row],[Revenue]])</f>
        <v>0.31955598072590735</v>
      </c>
    </row>
    <row r="968" spans="1:11" x14ac:dyDescent="0.35">
      <c r="A968" s="1">
        <v>45421</v>
      </c>
      <c r="B968" s="3" t="s">
        <v>27</v>
      </c>
      <c r="C968" s="3" t="s">
        <v>14</v>
      </c>
      <c r="D968" s="3" t="s">
        <v>25</v>
      </c>
      <c r="E968" s="4">
        <v>13</v>
      </c>
      <c r="F968" s="4">
        <v>485</v>
      </c>
      <c r="G968" s="3" t="s">
        <v>16</v>
      </c>
      <c r="H968">
        <v>6305</v>
      </c>
      <c r="I968">
        <v>4408.0418200000004</v>
      </c>
      <c r="J968">
        <v>1896.9581800000001</v>
      </c>
      <c r="K968" s="5">
        <f>IF(Table1[[#This Row],[Revenue]]=0, 0, Table1[[#This Row],[Profit]]/Table1[[#This Row],[Revenue]])</f>
        <v>0.30086569072164948</v>
      </c>
    </row>
    <row r="969" spans="1:11" x14ac:dyDescent="0.35">
      <c r="A969" s="1">
        <v>45375</v>
      </c>
      <c r="B969" s="3" t="s">
        <v>20</v>
      </c>
      <c r="C969" s="3" t="s">
        <v>31</v>
      </c>
      <c r="D969" s="3" t="s">
        <v>21</v>
      </c>
      <c r="E969" s="4">
        <v>19</v>
      </c>
      <c r="F969" s="4">
        <v>1353</v>
      </c>
      <c r="G969" s="3" t="s">
        <v>19</v>
      </c>
      <c r="H969">
        <v>25707</v>
      </c>
      <c r="I969">
        <v>19083.949499999999</v>
      </c>
      <c r="J969">
        <v>6623.0505050000002</v>
      </c>
      <c r="K969" s="5">
        <f>IF(Table1[[#This Row],[Revenue]]=0, 0, Table1[[#This Row],[Profit]]/Table1[[#This Row],[Revenue]])</f>
        <v>0.25763607208153422</v>
      </c>
    </row>
    <row r="970" spans="1:11" x14ac:dyDescent="0.35">
      <c r="A970" s="1">
        <v>45612</v>
      </c>
      <c r="B970" s="3" t="s">
        <v>23</v>
      </c>
      <c r="C970" s="3" t="s">
        <v>24</v>
      </c>
      <c r="D970" s="3" t="s">
        <v>18</v>
      </c>
      <c r="E970" s="4">
        <v>13</v>
      </c>
      <c r="F970" s="4">
        <v>370</v>
      </c>
      <c r="G970" s="3" t="s">
        <v>19</v>
      </c>
      <c r="H970">
        <v>4810</v>
      </c>
      <c r="I970">
        <v>2986.0744610000002</v>
      </c>
      <c r="J970">
        <v>1823.9255390000001</v>
      </c>
      <c r="K970" s="5">
        <f>IF(Table1[[#This Row],[Revenue]]=0, 0, Table1[[#This Row],[Profit]]/Table1[[#This Row],[Revenue]])</f>
        <v>0.37919449875259875</v>
      </c>
    </row>
    <row r="971" spans="1:11" x14ac:dyDescent="0.35">
      <c r="A971" s="1">
        <v>45610</v>
      </c>
      <c r="B971" s="3" t="s">
        <v>10</v>
      </c>
      <c r="C971" s="3" t="s">
        <v>28</v>
      </c>
      <c r="D971" s="3" t="s">
        <v>21</v>
      </c>
      <c r="E971" s="4">
        <v>18</v>
      </c>
      <c r="F971" s="4">
        <v>1894</v>
      </c>
      <c r="G971" s="3" t="s">
        <v>16</v>
      </c>
      <c r="H971">
        <v>34092</v>
      </c>
      <c r="I971">
        <v>20993.919969999999</v>
      </c>
      <c r="J971">
        <v>13098.080029999999</v>
      </c>
      <c r="K971" s="5">
        <f>IF(Table1[[#This Row],[Revenue]]=0, 0, Table1[[#This Row],[Profit]]/Table1[[#This Row],[Revenue]])</f>
        <v>0.38419805320896394</v>
      </c>
    </row>
    <row r="972" spans="1:11" x14ac:dyDescent="0.35">
      <c r="A972" s="1">
        <v>45392</v>
      </c>
      <c r="B972" s="3" t="s">
        <v>27</v>
      </c>
      <c r="C972" s="3" t="s">
        <v>22</v>
      </c>
      <c r="D972" s="3" t="s">
        <v>21</v>
      </c>
      <c r="E972" s="4">
        <v>14</v>
      </c>
      <c r="F972" s="4">
        <v>910</v>
      </c>
      <c r="G972" s="3" t="s">
        <v>13</v>
      </c>
      <c r="H972">
        <v>12740</v>
      </c>
      <c r="I972">
        <v>8763.5049459999991</v>
      </c>
      <c r="J972">
        <v>3976.495054</v>
      </c>
      <c r="K972" s="5">
        <f>IF(Table1[[#This Row],[Revenue]]=0, 0, Table1[[#This Row],[Profit]]/Table1[[#This Row],[Revenue]])</f>
        <v>0.31212677032967034</v>
      </c>
    </row>
    <row r="973" spans="1:11" x14ac:dyDescent="0.35">
      <c r="A973" s="1">
        <v>45620</v>
      </c>
      <c r="B973" s="3" t="s">
        <v>20</v>
      </c>
      <c r="C973" s="3" t="s">
        <v>22</v>
      </c>
      <c r="D973" s="3" t="s">
        <v>29</v>
      </c>
      <c r="E973" s="4">
        <v>4</v>
      </c>
      <c r="F973" s="4">
        <v>514</v>
      </c>
      <c r="G973" s="3" t="s">
        <v>13</v>
      </c>
      <c r="H973">
        <v>2056</v>
      </c>
      <c r="I973">
        <v>1416.02855</v>
      </c>
      <c r="J973">
        <v>639.97145030000001</v>
      </c>
      <c r="K973" s="5">
        <f>IF(Table1[[#This Row],[Revenue]]=0, 0, Table1[[#This Row],[Profit]]/Table1[[#This Row],[Revenue]])</f>
        <v>0.311270160651751</v>
      </c>
    </row>
    <row r="974" spans="1:11" x14ac:dyDescent="0.35">
      <c r="A974" s="1">
        <v>45564</v>
      </c>
      <c r="B974" s="3" t="s">
        <v>23</v>
      </c>
      <c r="C974" s="3" t="s">
        <v>22</v>
      </c>
      <c r="D974" s="3" t="s">
        <v>12</v>
      </c>
      <c r="E974" s="4">
        <v>4</v>
      </c>
      <c r="F974" s="4">
        <v>297</v>
      </c>
      <c r="G974" s="3" t="s">
        <v>13</v>
      </c>
      <c r="H974">
        <v>1188</v>
      </c>
      <c r="I974">
        <v>754.7291156</v>
      </c>
      <c r="J974">
        <v>433.2708844</v>
      </c>
      <c r="K974" s="5">
        <f>IF(Table1[[#This Row],[Revenue]]=0, 0, Table1[[#This Row],[Profit]]/Table1[[#This Row],[Revenue]])</f>
        <v>0.36470613164983168</v>
      </c>
    </row>
    <row r="975" spans="1:11" x14ac:dyDescent="0.35">
      <c r="A975" s="1">
        <v>45556</v>
      </c>
      <c r="B975" s="3" t="s">
        <v>10</v>
      </c>
      <c r="C975" s="3" t="s">
        <v>24</v>
      </c>
      <c r="D975" s="3" t="s">
        <v>30</v>
      </c>
      <c r="E975" s="4">
        <v>19</v>
      </c>
      <c r="F975" s="4">
        <v>1446</v>
      </c>
      <c r="G975" s="3" t="s">
        <v>19</v>
      </c>
      <c r="H975">
        <v>27474</v>
      </c>
      <c r="I975">
        <v>19820.773280000001</v>
      </c>
      <c r="J975">
        <v>7653.226721</v>
      </c>
      <c r="K975" s="5">
        <f>IF(Table1[[#This Row],[Revenue]]=0, 0, Table1[[#This Row],[Profit]]/Table1[[#This Row],[Revenue]])</f>
        <v>0.27856252169323725</v>
      </c>
    </row>
    <row r="976" spans="1:11" x14ac:dyDescent="0.35">
      <c r="A976" s="1">
        <v>45329</v>
      </c>
      <c r="B976" s="3" t="s">
        <v>20</v>
      </c>
      <c r="C976" s="3" t="s">
        <v>31</v>
      </c>
      <c r="D976" s="3" t="s">
        <v>25</v>
      </c>
      <c r="E976" s="4">
        <v>13</v>
      </c>
      <c r="F976" s="4">
        <v>1179</v>
      </c>
      <c r="G976" s="3" t="s">
        <v>19</v>
      </c>
      <c r="H976">
        <v>15327</v>
      </c>
      <c r="I976">
        <v>10502.192220000001</v>
      </c>
      <c r="J976">
        <v>4824.8077810000004</v>
      </c>
      <c r="K976" s="5">
        <f>IF(Table1[[#This Row],[Revenue]]=0, 0, Table1[[#This Row],[Profit]]/Table1[[#This Row],[Revenue]])</f>
        <v>0.3147913995563385</v>
      </c>
    </row>
    <row r="977" spans="1:11" x14ac:dyDescent="0.35">
      <c r="A977" s="1">
        <v>45385</v>
      </c>
      <c r="B977" s="3" t="s">
        <v>20</v>
      </c>
      <c r="C977" s="3" t="s">
        <v>28</v>
      </c>
      <c r="D977" s="3" t="s">
        <v>30</v>
      </c>
      <c r="E977" s="4">
        <v>12</v>
      </c>
      <c r="F977" s="4">
        <v>930</v>
      </c>
      <c r="G977" s="3" t="s">
        <v>16</v>
      </c>
      <c r="H977">
        <v>11160</v>
      </c>
      <c r="I977">
        <v>6783.2339910000001</v>
      </c>
      <c r="J977">
        <v>4376.7660089999999</v>
      </c>
      <c r="K977" s="5">
        <f>IF(Table1[[#This Row],[Revenue]]=0, 0, Table1[[#This Row],[Profit]]/Table1[[#This Row],[Revenue]])</f>
        <v>0.39218333413978496</v>
      </c>
    </row>
    <row r="978" spans="1:11" x14ac:dyDescent="0.35">
      <c r="A978" s="1">
        <v>45386</v>
      </c>
      <c r="B978" s="3" t="s">
        <v>27</v>
      </c>
      <c r="C978" s="3" t="s">
        <v>22</v>
      </c>
      <c r="D978" s="3" t="s">
        <v>29</v>
      </c>
      <c r="E978" s="4">
        <v>7</v>
      </c>
      <c r="F978" s="4">
        <v>1326</v>
      </c>
      <c r="G978" s="3" t="s">
        <v>13</v>
      </c>
      <c r="H978">
        <v>9282</v>
      </c>
      <c r="I978">
        <v>8035.5780850000001</v>
      </c>
      <c r="J978">
        <v>1246.4219149999999</v>
      </c>
      <c r="K978" s="5">
        <f>IF(Table1[[#This Row],[Revenue]]=0, 0, Table1[[#This Row],[Profit]]/Table1[[#This Row],[Revenue]])</f>
        <v>0.13428376589097177</v>
      </c>
    </row>
    <row r="979" spans="1:11" x14ac:dyDescent="0.35">
      <c r="A979" s="1">
        <v>45596</v>
      </c>
      <c r="B979" s="3" t="s">
        <v>20</v>
      </c>
      <c r="C979" s="3" t="s">
        <v>28</v>
      </c>
      <c r="D979" s="3" t="s">
        <v>29</v>
      </c>
      <c r="E979" s="4">
        <v>12</v>
      </c>
      <c r="F979" s="4">
        <v>1906</v>
      </c>
      <c r="G979" s="3" t="s">
        <v>16</v>
      </c>
      <c r="H979">
        <v>22872</v>
      </c>
      <c r="I979">
        <v>19802.70809</v>
      </c>
      <c r="J979">
        <v>3069.2919059999999</v>
      </c>
      <c r="K979" s="5">
        <f>IF(Table1[[#This Row],[Revenue]]=0, 0, Table1[[#This Row],[Profit]]/Table1[[#This Row],[Revenue]])</f>
        <v>0.13419429459601259</v>
      </c>
    </row>
    <row r="980" spans="1:11" x14ac:dyDescent="0.35">
      <c r="A980" s="1">
        <v>45360</v>
      </c>
      <c r="B980" s="3" t="s">
        <v>27</v>
      </c>
      <c r="C980" s="3" t="s">
        <v>26</v>
      </c>
      <c r="D980" s="3" t="s">
        <v>21</v>
      </c>
      <c r="E980" s="4">
        <v>4</v>
      </c>
      <c r="F980" s="4">
        <v>1744</v>
      </c>
      <c r="G980" s="3" t="s">
        <v>19</v>
      </c>
      <c r="H980">
        <v>6976</v>
      </c>
      <c r="I980">
        <v>4623.3766189999997</v>
      </c>
      <c r="J980">
        <v>2352.6233809999999</v>
      </c>
      <c r="K980" s="5">
        <f>IF(Table1[[#This Row],[Revenue]]=0, 0, Table1[[#This Row],[Profit]]/Table1[[#This Row],[Revenue]])</f>
        <v>0.33724532411123853</v>
      </c>
    </row>
    <row r="981" spans="1:11" x14ac:dyDescent="0.35">
      <c r="A981" s="1">
        <v>45609</v>
      </c>
      <c r="B981" s="3" t="s">
        <v>23</v>
      </c>
      <c r="C981" s="3" t="s">
        <v>11</v>
      </c>
      <c r="D981" s="3" t="s">
        <v>15</v>
      </c>
      <c r="E981" s="4">
        <v>2</v>
      </c>
      <c r="F981" s="4">
        <v>727</v>
      </c>
      <c r="G981" s="3" t="s">
        <v>13</v>
      </c>
      <c r="H981">
        <v>1454</v>
      </c>
      <c r="I981">
        <v>943.44486589999997</v>
      </c>
      <c r="J981">
        <v>510.55513409999998</v>
      </c>
      <c r="K981" s="5">
        <f>IF(Table1[[#This Row],[Revenue]]=0, 0, Table1[[#This Row],[Profit]]/Table1[[#This Row],[Revenue]])</f>
        <v>0.35113833156808799</v>
      </c>
    </row>
    <row r="982" spans="1:11" x14ac:dyDescent="0.35">
      <c r="A982" s="1">
        <v>45527</v>
      </c>
      <c r="B982" s="3" t="s">
        <v>27</v>
      </c>
      <c r="C982" s="3" t="s">
        <v>11</v>
      </c>
      <c r="D982" s="3" t="s">
        <v>12</v>
      </c>
      <c r="E982" s="4">
        <v>2</v>
      </c>
      <c r="F982" s="4">
        <v>703</v>
      </c>
      <c r="G982" s="3" t="s">
        <v>13</v>
      </c>
      <c r="H982">
        <v>1406</v>
      </c>
      <c r="I982">
        <v>1074.4480880000001</v>
      </c>
      <c r="J982">
        <v>331.55191200000002</v>
      </c>
      <c r="K982" s="5">
        <f>IF(Table1[[#This Row],[Revenue]]=0, 0, Table1[[#This Row],[Profit]]/Table1[[#This Row],[Revenue]])</f>
        <v>0.23581217069701282</v>
      </c>
    </row>
    <row r="983" spans="1:11" x14ac:dyDescent="0.35">
      <c r="A983" s="1">
        <v>45625</v>
      </c>
      <c r="B983" s="3" t="s">
        <v>10</v>
      </c>
      <c r="C983" s="3" t="s">
        <v>28</v>
      </c>
      <c r="D983" s="3" t="s">
        <v>32</v>
      </c>
      <c r="E983" s="4">
        <v>5</v>
      </c>
      <c r="F983" s="4">
        <v>1261</v>
      </c>
      <c r="G983" s="3" t="s">
        <v>16</v>
      </c>
      <c r="H983">
        <v>6305</v>
      </c>
      <c r="I983">
        <v>4976.0702510000001</v>
      </c>
      <c r="J983">
        <v>1328.9297489999999</v>
      </c>
      <c r="K983" s="5">
        <f>IF(Table1[[#This Row],[Revenue]]=0, 0, Table1[[#This Row],[Profit]]/Table1[[#This Row],[Revenue]])</f>
        <v>0.21077394908802535</v>
      </c>
    </row>
    <row r="984" spans="1:11" x14ac:dyDescent="0.35">
      <c r="A984" s="1">
        <v>45428</v>
      </c>
      <c r="B984" s="3" t="s">
        <v>27</v>
      </c>
      <c r="C984" s="3" t="s">
        <v>17</v>
      </c>
      <c r="D984" s="3" t="s">
        <v>12</v>
      </c>
      <c r="E984" s="4">
        <v>10</v>
      </c>
      <c r="F984" s="4">
        <v>1545</v>
      </c>
      <c r="G984" s="3" t="s">
        <v>19</v>
      </c>
      <c r="H984">
        <v>15450</v>
      </c>
      <c r="I984">
        <v>13708.20975</v>
      </c>
      <c r="J984">
        <v>1741.790246</v>
      </c>
      <c r="K984" s="5">
        <f>IF(Table1[[#This Row],[Revenue]]=0, 0, Table1[[#This Row],[Profit]]/Table1[[#This Row],[Revenue]])</f>
        <v>0.11273723275080906</v>
      </c>
    </row>
    <row r="985" spans="1:11" x14ac:dyDescent="0.35">
      <c r="A985" s="1">
        <v>45367</v>
      </c>
      <c r="B985" s="3" t="s">
        <v>10</v>
      </c>
      <c r="C985" s="3" t="s">
        <v>17</v>
      </c>
      <c r="D985" s="3" t="s">
        <v>32</v>
      </c>
      <c r="E985" s="4">
        <v>10</v>
      </c>
      <c r="F985" s="4">
        <v>1938</v>
      </c>
      <c r="G985" s="3" t="s">
        <v>19</v>
      </c>
      <c r="H985">
        <v>19380</v>
      </c>
      <c r="I985">
        <v>13821.90393</v>
      </c>
      <c r="J985">
        <v>5558.0960729999997</v>
      </c>
      <c r="K985" s="5">
        <f>IF(Table1[[#This Row],[Revenue]]=0, 0, Table1[[#This Row],[Profit]]/Table1[[#This Row],[Revenue]])</f>
        <v>0.28679546300309594</v>
      </c>
    </row>
    <row r="986" spans="1:11" x14ac:dyDescent="0.35">
      <c r="A986" s="1">
        <v>45326</v>
      </c>
      <c r="B986" s="3" t="s">
        <v>27</v>
      </c>
      <c r="C986" s="3" t="s">
        <v>24</v>
      </c>
      <c r="D986" s="3" t="s">
        <v>44</v>
      </c>
      <c r="E986" s="4">
        <v>9</v>
      </c>
      <c r="F986" s="4">
        <v>0</v>
      </c>
      <c r="G986" s="3" t="s">
        <v>19</v>
      </c>
      <c r="H986">
        <v>0</v>
      </c>
      <c r="I986">
        <v>0</v>
      </c>
      <c r="J986">
        <v>0</v>
      </c>
      <c r="K986" s="5">
        <f>IF(Table1[[#This Row],[Revenue]]=0, 0, Table1[[#This Row],[Profit]]/Table1[[#This Row],[Revenue]])</f>
        <v>0</v>
      </c>
    </row>
    <row r="987" spans="1:11" x14ac:dyDescent="0.35">
      <c r="A987" s="1">
        <v>45292</v>
      </c>
      <c r="B987" s="3" t="s">
        <v>20</v>
      </c>
      <c r="C987" s="3" t="s">
        <v>24</v>
      </c>
      <c r="D987" s="3" t="s">
        <v>32</v>
      </c>
      <c r="E987" s="4">
        <v>13</v>
      </c>
      <c r="F987" s="4">
        <v>1685</v>
      </c>
      <c r="G987" s="3" t="s">
        <v>19</v>
      </c>
      <c r="H987">
        <v>21905</v>
      </c>
      <c r="I987">
        <v>18913.96674</v>
      </c>
      <c r="J987">
        <v>2991.033257</v>
      </c>
      <c r="K987" s="5">
        <f>IF(Table1[[#This Row],[Revenue]]=0, 0, Table1[[#This Row],[Profit]]/Table1[[#This Row],[Revenue]])</f>
        <v>0.13654568623601918</v>
      </c>
    </row>
    <row r="988" spans="1:11" x14ac:dyDescent="0.35">
      <c r="A988" s="1">
        <v>45587</v>
      </c>
      <c r="B988" s="3" t="s">
        <v>23</v>
      </c>
      <c r="C988" s="3" t="s">
        <v>11</v>
      </c>
      <c r="D988" s="3" t="s">
        <v>29</v>
      </c>
      <c r="E988" s="4">
        <v>7</v>
      </c>
      <c r="F988" s="4">
        <v>1109</v>
      </c>
      <c r="G988" s="3" t="s">
        <v>13</v>
      </c>
      <c r="H988">
        <v>7763</v>
      </c>
      <c r="I988">
        <v>5705.6973719999996</v>
      </c>
      <c r="J988">
        <v>2057.3026279999999</v>
      </c>
      <c r="K988" s="5">
        <f>IF(Table1[[#This Row],[Revenue]]=0, 0, Table1[[#This Row],[Profit]]/Table1[[#This Row],[Revenue]])</f>
        <v>0.26501386422774698</v>
      </c>
    </row>
    <row r="989" spans="1:11" x14ac:dyDescent="0.35">
      <c r="A989" s="1">
        <v>45611</v>
      </c>
      <c r="B989" s="3" t="s">
        <v>10</v>
      </c>
      <c r="C989" s="3" t="s">
        <v>26</v>
      </c>
      <c r="D989" s="3" t="s">
        <v>30</v>
      </c>
      <c r="E989" s="4">
        <v>5</v>
      </c>
      <c r="F989" s="4">
        <v>170</v>
      </c>
      <c r="G989" s="3" t="s">
        <v>19</v>
      </c>
      <c r="H989">
        <v>850</v>
      </c>
      <c r="I989">
        <v>541.19816649999996</v>
      </c>
      <c r="J989">
        <v>308.80183349999999</v>
      </c>
      <c r="K989" s="5">
        <f>IF(Table1[[#This Row],[Revenue]]=0, 0, Table1[[#This Row],[Profit]]/Table1[[#This Row],[Revenue]])</f>
        <v>0.36329627470588233</v>
      </c>
    </row>
    <row r="990" spans="1:11" x14ac:dyDescent="0.35">
      <c r="A990" s="1">
        <v>45351</v>
      </c>
      <c r="B990" s="3" t="s">
        <v>27</v>
      </c>
      <c r="C990" s="3" t="s">
        <v>14</v>
      </c>
      <c r="D990" s="3" t="s">
        <v>32</v>
      </c>
      <c r="E990" s="4">
        <v>10</v>
      </c>
      <c r="F990" s="4">
        <v>1010</v>
      </c>
      <c r="G990" s="3" t="s">
        <v>16</v>
      </c>
      <c r="H990">
        <v>10100</v>
      </c>
      <c r="I990">
        <v>7203.6652759999997</v>
      </c>
      <c r="J990">
        <v>2896.3347239999998</v>
      </c>
      <c r="K990" s="5">
        <f>IF(Table1[[#This Row],[Revenue]]=0, 0, Table1[[#This Row],[Profit]]/Table1[[#This Row],[Revenue]])</f>
        <v>0.2867658142574257</v>
      </c>
    </row>
    <row r="991" spans="1:11" x14ac:dyDescent="0.35">
      <c r="A991" s="1">
        <v>45611</v>
      </c>
      <c r="B991" s="3" t="s">
        <v>27</v>
      </c>
      <c r="C991" s="3" t="s">
        <v>31</v>
      </c>
      <c r="D991" s="3" t="s">
        <v>12</v>
      </c>
      <c r="E991" s="4">
        <v>10</v>
      </c>
      <c r="F991" s="4">
        <v>693</v>
      </c>
      <c r="G991" s="3" t="s">
        <v>19</v>
      </c>
      <c r="H991">
        <v>6930</v>
      </c>
      <c r="I991">
        <v>4441.9226410000001</v>
      </c>
      <c r="J991">
        <v>2488.0773589999999</v>
      </c>
      <c r="K991" s="5">
        <f>IF(Table1[[#This Row],[Revenue]]=0, 0, Table1[[#This Row],[Profit]]/Table1[[#This Row],[Revenue]])</f>
        <v>0.35902992193362193</v>
      </c>
    </row>
    <row r="992" spans="1:11" x14ac:dyDescent="0.35">
      <c r="A992" s="1">
        <v>45640</v>
      </c>
      <c r="B992" s="3" t="s">
        <v>27</v>
      </c>
      <c r="C992" s="3" t="s">
        <v>31</v>
      </c>
      <c r="D992" s="3" t="s">
        <v>25</v>
      </c>
      <c r="E992" s="4">
        <v>6</v>
      </c>
      <c r="F992" s="4">
        <v>1495</v>
      </c>
      <c r="G992" s="3" t="s">
        <v>19</v>
      </c>
      <c r="H992">
        <v>8970</v>
      </c>
      <c r="I992">
        <v>5426.7767979999999</v>
      </c>
      <c r="J992">
        <v>3543.2232020000001</v>
      </c>
      <c r="K992" s="5">
        <f>IF(Table1[[#This Row],[Revenue]]=0, 0, Table1[[#This Row],[Profit]]/Table1[[#This Row],[Revenue]])</f>
        <v>0.39500816075808254</v>
      </c>
    </row>
    <row r="993" spans="1:11" x14ac:dyDescent="0.35">
      <c r="A993" s="1">
        <v>45619</v>
      </c>
      <c r="B993" s="3" t="s">
        <v>20</v>
      </c>
      <c r="C993" s="3" t="s">
        <v>24</v>
      </c>
      <c r="D993" s="3" t="s">
        <v>21</v>
      </c>
      <c r="E993" s="4">
        <v>19</v>
      </c>
      <c r="F993" s="4">
        <v>1740</v>
      </c>
      <c r="G993" s="3" t="s">
        <v>19</v>
      </c>
      <c r="H993">
        <v>33060</v>
      </c>
      <c r="I993">
        <v>27289.90321</v>
      </c>
      <c r="J993">
        <v>5770.0967870000004</v>
      </c>
      <c r="K993" s="5">
        <f>IF(Table1[[#This Row],[Revenue]]=0, 0, Table1[[#This Row],[Profit]]/Table1[[#This Row],[Revenue]])</f>
        <v>0.17453408309134907</v>
      </c>
    </row>
    <row r="994" spans="1:11" x14ac:dyDescent="0.35">
      <c r="A994" s="1">
        <v>45558</v>
      </c>
      <c r="B994" s="3" t="s">
        <v>20</v>
      </c>
      <c r="C994" s="3" t="s">
        <v>26</v>
      </c>
      <c r="D994" s="3" t="s">
        <v>15</v>
      </c>
      <c r="E994" s="4">
        <v>8</v>
      </c>
      <c r="F994" s="4">
        <v>699</v>
      </c>
      <c r="G994" s="3" t="s">
        <v>19</v>
      </c>
      <c r="H994">
        <v>5592</v>
      </c>
      <c r="I994">
        <v>3755.1795999999999</v>
      </c>
      <c r="J994">
        <v>1836.8204000000001</v>
      </c>
      <c r="K994" s="5">
        <f>IF(Table1[[#This Row],[Revenue]]=0, 0, Table1[[#This Row],[Profit]]/Table1[[#This Row],[Revenue]])</f>
        <v>0.32847288984263234</v>
      </c>
    </row>
    <row r="995" spans="1:11" x14ac:dyDescent="0.35">
      <c r="A995" s="1">
        <v>45652</v>
      </c>
      <c r="B995" s="3" t="s">
        <v>10</v>
      </c>
      <c r="C995" s="3" t="s">
        <v>24</v>
      </c>
      <c r="D995" s="3" t="s">
        <v>21</v>
      </c>
      <c r="E995" s="4">
        <v>1</v>
      </c>
      <c r="F995" s="4">
        <v>613</v>
      </c>
      <c r="G995" s="3" t="s">
        <v>19</v>
      </c>
      <c r="H995">
        <v>613</v>
      </c>
      <c r="I995">
        <v>368.16909570000001</v>
      </c>
      <c r="J995">
        <v>244.83090429999999</v>
      </c>
      <c r="K995" s="5">
        <f>IF(Table1[[#This Row],[Revenue]]=0, 0, Table1[[#This Row],[Profit]]/Table1[[#This Row],[Revenue]])</f>
        <v>0.39939788629690048</v>
      </c>
    </row>
    <row r="996" spans="1:11" x14ac:dyDescent="0.35">
      <c r="A996" s="1">
        <v>45520</v>
      </c>
      <c r="B996" s="3" t="s">
        <v>10</v>
      </c>
      <c r="C996" s="3" t="s">
        <v>14</v>
      </c>
      <c r="D996" s="3" t="s">
        <v>18</v>
      </c>
      <c r="E996" s="4">
        <v>17</v>
      </c>
      <c r="F996" s="4">
        <v>1995</v>
      </c>
      <c r="G996" s="3" t="s">
        <v>16</v>
      </c>
      <c r="H996">
        <v>33915</v>
      </c>
      <c r="I996">
        <v>29225.563020000001</v>
      </c>
      <c r="J996">
        <v>4689.4369779999997</v>
      </c>
      <c r="K996" s="5">
        <f>IF(Table1[[#This Row],[Revenue]]=0, 0, Table1[[#This Row],[Profit]]/Table1[[#This Row],[Revenue]])</f>
        <v>0.13827029273182956</v>
      </c>
    </row>
    <row r="997" spans="1:11" x14ac:dyDescent="0.35">
      <c r="A997" s="1">
        <v>45561</v>
      </c>
      <c r="B997" s="3" t="s">
        <v>20</v>
      </c>
      <c r="C997" s="3" t="s">
        <v>31</v>
      </c>
      <c r="D997" s="3" t="s">
        <v>21</v>
      </c>
      <c r="E997" s="4">
        <v>7</v>
      </c>
      <c r="F997" s="4">
        <v>183</v>
      </c>
      <c r="G997" s="3" t="s">
        <v>19</v>
      </c>
      <c r="H997">
        <v>1281</v>
      </c>
      <c r="I997">
        <v>939.14805060000003</v>
      </c>
      <c r="J997">
        <v>341.85194940000002</v>
      </c>
      <c r="K997" s="5">
        <f>IF(Table1[[#This Row],[Revenue]]=0, 0, Table1[[#This Row],[Profit]]/Table1[[#This Row],[Revenue]])</f>
        <v>0.26686334847775178</v>
      </c>
    </row>
    <row r="998" spans="1:11" x14ac:dyDescent="0.35">
      <c r="A998" s="1">
        <v>45607</v>
      </c>
      <c r="B998" s="3" t="s">
        <v>10</v>
      </c>
      <c r="C998" s="3" t="s">
        <v>28</v>
      </c>
      <c r="D998" s="3" t="s">
        <v>29</v>
      </c>
      <c r="E998" s="4">
        <v>14</v>
      </c>
      <c r="F998" s="4">
        <v>1093</v>
      </c>
      <c r="G998" s="3" t="s">
        <v>16</v>
      </c>
      <c r="H998">
        <v>15302</v>
      </c>
      <c r="I998">
        <v>10277.710160000001</v>
      </c>
      <c r="J998">
        <v>5024.2898370000003</v>
      </c>
      <c r="K998" s="5">
        <f>IF(Table1[[#This Row],[Revenue]]=0, 0, Table1[[#This Row],[Profit]]/Table1[[#This Row],[Revenue]])</f>
        <v>0.32834203613906682</v>
      </c>
    </row>
    <row r="999" spans="1:11" x14ac:dyDescent="0.35">
      <c r="A999" s="1">
        <v>45577</v>
      </c>
      <c r="B999" s="3" t="s">
        <v>23</v>
      </c>
      <c r="C999" s="3" t="s">
        <v>24</v>
      </c>
      <c r="D999" s="3" t="s">
        <v>30</v>
      </c>
      <c r="E999" s="4">
        <v>17</v>
      </c>
      <c r="F999" s="4">
        <v>1166</v>
      </c>
      <c r="G999" s="3" t="s">
        <v>19</v>
      </c>
      <c r="H999">
        <v>19822</v>
      </c>
      <c r="I999">
        <v>13455.906849999999</v>
      </c>
      <c r="J999">
        <v>6366.0931499999997</v>
      </c>
      <c r="K999" s="5">
        <f>IF(Table1[[#This Row],[Revenue]]=0, 0, Table1[[#This Row],[Profit]]/Table1[[#This Row],[Revenue]])</f>
        <v>0.32116300827363536</v>
      </c>
    </row>
    <row r="1000" spans="1:11" x14ac:dyDescent="0.35">
      <c r="A1000" s="1">
        <v>45582</v>
      </c>
      <c r="B1000" s="3" t="s">
        <v>23</v>
      </c>
      <c r="C1000" s="3" t="s">
        <v>43</v>
      </c>
      <c r="D1000" s="3" t="s">
        <v>30</v>
      </c>
      <c r="E1000" s="4">
        <v>9</v>
      </c>
      <c r="F1000" s="4">
        <v>1789</v>
      </c>
      <c r="G1000" s="3" t="s">
        <v>13</v>
      </c>
      <c r="H1000">
        <v>16101</v>
      </c>
      <c r="I1000">
        <v>10822.47019</v>
      </c>
      <c r="J1000">
        <v>5278.5298140000004</v>
      </c>
      <c r="K1000" s="5">
        <f>IF(Table1[[#This Row],[Revenue]]=0, 0, Table1[[#This Row],[Profit]]/Table1[[#This Row],[Revenue]])</f>
        <v>0.32783863201043417</v>
      </c>
    </row>
    <row r="1001" spans="1:11" x14ac:dyDescent="0.35">
      <c r="A1001" s="1">
        <v>45504</v>
      </c>
      <c r="B1001" s="3" t="s">
        <v>20</v>
      </c>
      <c r="C1001" s="3" t="s">
        <v>28</v>
      </c>
      <c r="D1001" s="3" t="s">
        <v>25</v>
      </c>
      <c r="E1001" s="4">
        <v>17</v>
      </c>
      <c r="F1001" s="4">
        <v>938</v>
      </c>
      <c r="G1001" s="3" t="s">
        <v>16</v>
      </c>
      <c r="H1001">
        <v>15946</v>
      </c>
      <c r="I1001">
        <v>10498.31776</v>
      </c>
      <c r="J1001">
        <v>5447.6822359999996</v>
      </c>
      <c r="K1001" s="5">
        <f>IF(Table1[[#This Row],[Revenue]]=0, 0, Table1[[#This Row],[Profit]]/Table1[[#This Row],[Revenue]])</f>
        <v>0.3416331516367741</v>
      </c>
    </row>
    <row r="1002" spans="1:11" x14ac:dyDescent="0.35">
      <c r="A1002" s="1">
        <v>45456</v>
      </c>
      <c r="B1002" s="3" t="s">
        <v>10</v>
      </c>
      <c r="C1002" s="3" t="s">
        <v>14</v>
      </c>
      <c r="D1002" s="3" t="s">
        <v>32</v>
      </c>
      <c r="E1002" s="4">
        <v>5</v>
      </c>
      <c r="F1002" s="4">
        <v>705</v>
      </c>
      <c r="G1002" s="3" t="s">
        <v>16</v>
      </c>
      <c r="H1002">
        <v>3525</v>
      </c>
      <c r="I1002">
        <v>3004.596732</v>
      </c>
      <c r="J1002">
        <v>520.40326749999997</v>
      </c>
      <c r="K1002" s="5">
        <f>IF(Table1[[#This Row],[Revenue]]=0, 0, Table1[[#This Row],[Profit]]/Table1[[#This Row],[Revenue]])</f>
        <v>0.14763213262411345</v>
      </c>
    </row>
    <row r="1003" spans="1:11" x14ac:dyDescent="0.35">
      <c r="A1003" s="1">
        <v>45296</v>
      </c>
      <c r="B1003" s="3" t="s">
        <v>27</v>
      </c>
      <c r="C1003" s="3" t="s">
        <v>14</v>
      </c>
      <c r="D1003" s="3" t="s">
        <v>29</v>
      </c>
      <c r="E1003" s="4">
        <v>8</v>
      </c>
      <c r="F1003" s="4">
        <v>909</v>
      </c>
      <c r="G1003" s="3" t="s">
        <v>16</v>
      </c>
      <c r="H1003">
        <v>7272</v>
      </c>
      <c r="I1003">
        <v>4734.795494</v>
      </c>
      <c r="J1003">
        <v>2537.204506</v>
      </c>
      <c r="K1003" s="5">
        <f>IF(Table1[[#This Row],[Revenue]]=0, 0, Table1[[#This Row],[Profit]]/Table1[[#This Row],[Revenue]])</f>
        <v>0.34890050962596258</v>
      </c>
    </row>
    <row r="1004" spans="1:11" x14ac:dyDescent="0.35">
      <c r="A1004" s="1">
        <v>45630</v>
      </c>
      <c r="B1004" s="3" t="s">
        <v>23</v>
      </c>
      <c r="C1004" s="3" t="s">
        <v>24</v>
      </c>
      <c r="D1004" s="3" t="s">
        <v>18</v>
      </c>
      <c r="E1004" s="4">
        <v>6</v>
      </c>
      <c r="F1004" s="4">
        <v>232</v>
      </c>
      <c r="G1004" s="3" t="s">
        <v>19</v>
      </c>
      <c r="H1004">
        <v>1392</v>
      </c>
      <c r="I1004">
        <v>1069.830516</v>
      </c>
      <c r="J1004">
        <v>322.16948400000001</v>
      </c>
      <c r="K1004" s="5">
        <f>IF(Table1[[#This Row],[Revenue]]=0, 0, Table1[[#This Row],[Profit]]/Table1[[#This Row],[Revenue]])</f>
        <v>0.23144359482758622</v>
      </c>
    </row>
    <row r="1005" spans="1:11" x14ac:dyDescent="0.35">
      <c r="A1005" s="1">
        <v>45369</v>
      </c>
      <c r="B1005" s="3" t="s">
        <v>20</v>
      </c>
      <c r="C1005" s="3" t="s">
        <v>11</v>
      </c>
      <c r="D1005" s="3" t="s">
        <v>29</v>
      </c>
      <c r="E1005" s="4">
        <v>11</v>
      </c>
      <c r="F1005" s="4">
        <v>1518</v>
      </c>
      <c r="G1005" s="3" t="s">
        <v>13</v>
      </c>
      <c r="H1005">
        <v>16698</v>
      </c>
      <c r="I1005">
        <v>10406.12803</v>
      </c>
      <c r="J1005">
        <v>6291.8719659999997</v>
      </c>
      <c r="K1005" s="5">
        <f>IF(Table1[[#This Row],[Revenue]]=0, 0, Table1[[#This Row],[Profit]]/Table1[[#This Row],[Revenue]])</f>
        <v>0.3768039265780333</v>
      </c>
    </row>
    <row r="1006" spans="1:11" x14ac:dyDescent="0.35">
      <c r="A1006" s="1">
        <v>45423</v>
      </c>
      <c r="B1006" s="3" t="s">
        <v>20</v>
      </c>
      <c r="C1006" s="3" t="s">
        <v>11</v>
      </c>
      <c r="D1006" s="3" t="s">
        <v>29</v>
      </c>
      <c r="E1006" s="4">
        <v>4</v>
      </c>
      <c r="F1006" s="4">
        <v>389</v>
      </c>
      <c r="G1006" s="3" t="s">
        <v>13</v>
      </c>
      <c r="H1006">
        <v>1556</v>
      </c>
      <c r="I1006">
        <v>1215.2269309999999</v>
      </c>
      <c r="J1006">
        <v>340.7730694</v>
      </c>
      <c r="K1006" s="5">
        <f>IF(Table1[[#This Row],[Revenue]]=0, 0, Table1[[#This Row],[Profit]]/Table1[[#This Row],[Revenue]])</f>
        <v>0.21900582866323906</v>
      </c>
    </row>
    <row r="1007" spans="1:11" x14ac:dyDescent="0.35">
      <c r="A1007" s="1">
        <v>45380</v>
      </c>
      <c r="B1007" s="3" t="s">
        <v>27</v>
      </c>
      <c r="C1007" s="3" t="s">
        <v>14</v>
      </c>
      <c r="D1007" s="3" t="s">
        <v>29</v>
      </c>
      <c r="E1007" s="4">
        <v>18</v>
      </c>
      <c r="F1007" s="4">
        <v>475</v>
      </c>
      <c r="G1007" s="3" t="s">
        <v>16</v>
      </c>
      <c r="H1007">
        <v>8550</v>
      </c>
      <c r="I1007">
        <v>7446.5861910000003</v>
      </c>
      <c r="J1007">
        <v>1103.4138089999999</v>
      </c>
      <c r="K1007" s="5">
        <f>IF(Table1[[#This Row],[Revenue]]=0, 0, Table1[[#This Row],[Profit]]/Table1[[#This Row],[Revenue]])</f>
        <v>0.12905424666666665</v>
      </c>
    </row>
    <row r="1008" spans="1:11" x14ac:dyDescent="0.35">
      <c r="A1008" s="1">
        <v>45528</v>
      </c>
      <c r="B1008" s="3" t="s">
        <v>23</v>
      </c>
      <c r="C1008" s="3" t="s">
        <v>26</v>
      </c>
      <c r="D1008" s="3" t="s">
        <v>25</v>
      </c>
      <c r="E1008" s="4">
        <v>1</v>
      </c>
      <c r="F1008" s="4">
        <v>868</v>
      </c>
      <c r="G1008" s="3" t="s">
        <v>19</v>
      </c>
      <c r="H1008">
        <v>868</v>
      </c>
      <c r="I1008">
        <v>624.40737379999996</v>
      </c>
      <c r="J1008">
        <v>243.59262620000001</v>
      </c>
      <c r="K1008" s="5">
        <f>IF(Table1[[#This Row],[Revenue]]=0, 0, Table1[[#This Row],[Profit]]/Table1[[#This Row],[Revenue]])</f>
        <v>0.28063666612903226</v>
      </c>
    </row>
    <row r="1009" spans="1:11" x14ac:dyDescent="0.35">
      <c r="A1009" s="1">
        <v>45333</v>
      </c>
      <c r="B1009" s="3" t="s">
        <v>20</v>
      </c>
      <c r="C1009" s="3" t="s">
        <v>14</v>
      </c>
      <c r="D1009" s="3" t="s">
        <v>18</v>
      </c>
      <c r="E1009" s="4">
        <v>13</v>
      </c>
      <c r="F1009" s="4">
        <v>566</v>
      </c>
      <c r="G1009" s="3" t="s">
        <v>16</v>
      </c>
      <c r="H1009">
        <v>7358</v>
      </c>
      <c r="I1009">
        <v>6204.2774980000004</v>
      </c>
      <c r="J1009">
        <v>1153.7225020000001</v>
      </c>
      <c r="K1009" s="5">
        <f>IF(Table1[[#This Row],[Revenue]]=0, 0, Table1[[#This Row],[Profit]]/Table1[[#This Row],[Revenue]])</f>
        <v>0.15679838298450666</v>
      </c>
    </row>
    <row r="1010" spans="1:11" x14ac:dyDescent="0.35">
      <c r="A1010" s="1">
        <v>45380</v>
      </c>
      <c r="B1010" s="3" t="s">
        <v>20</v>
      </c>
      <c r="C1010" s="3" t="s">
        <v>31</v>
      </c>
      <c r="D1010" s="3" t="s">
        <v>21</v>
      </c>
      <c r="E1010" s="4">
        <v>14</v>
      </c>
      <c r="F1010" s="4">
        <v>1336</v>
      </c>
      <c r="G1010" s="3" t="s">
        <v>19</v>
      </c>
      <c r="H1010">
        <v>18704</v>
      </c>
      <c r="I1010">
        <v>16012.426020000001</v>
      </c>
      <c r="J1010">
        <v>2691.573985</v>
      </c>
      <c r="K1010" s="5">
        <f>IF(Table1[[#This Row],[Revenue]]=0, 0, Table1[[#This Row],[Profit]]/Table1[[#This Row],[Revenue]])</f>
        <v>0.14390365616980325</v>
      </c>
    </row>
    <row r="1011" spans="1:11" x14ac:dyDescent="0.35">
      <c r="A1011" s="1">
        <v>45587</v>
      </c>
      <c r="B1011" s="3" t="s">
        <v>20</v>
      </c>
      <c r="C1011" s="3" t="s">
        <v>28</v>
      </c>
      <c r="D1011" s="3" t="s">
        <v>15</v>
      </c>
      <c r="E1011" s="4">
        <v>1</v>
      </c>
      <c r="F1011" s="4">
        <v>1271</v>
      </c>
      <c r="G1011" s="3" t="s">
        <v>16</v>
      </c>
      <c r="H1011">
        <v>1271</v>
      </c>
      <c r="I1011">
        <v>1030.6345650000001</v>
      </c>
      <c r="J1011">
        <v>240.3654353</v>
      </c>
      <c r="K1011" s="5">
        <f>IF(Table1[[#This Row],[Revenue]]=0, 0, Table1[[#This Row],[Profit]]/Table1[[#This Row],[Revenue]])</f>
        <v>0.1891152126671912</v>
      </c>
    </row>
    <row r="1012" spans="1:11" x14ac:dyDescent="0.35">
      <c r="A1012" s="1">
        <v>45619</v>
      </c>
      <c r="B1012" s="3" t="s">
        <v>27</v>
      </c>
      <c r="C1012" s="3" t="s">
        <v>28</v>
      </c>
      <c r="D1012" s="3" t="s">
        <v>25</v>
      </c>
      <c r="E1012" s="4">
        <v>11</v>
      </c>
      <c r="F1012" s="4">
        <v>1696</v>
      </c>
      <c r="G1012" s="3" t="s">
        <v>16</v>
      </c>
      <c r="H1012">
        <v>18656</v>
      </c>
      <c r="I1012">
        <v>11713.80838</v>
      </c>
      <c r="J1012">
        <v>6942.1916199999996</v>
      </c>
      <c r="K1012" s="5">
        <f>IF(Table1[[#This Row],[Revenue]]=0, 0, Table1[[#This Row],[Profit]]/Table1[[#This Row],[Revenue]])</f>
        <v>0.37211576007718694</v>
      </c>
    </row>
    <row r="1013" spans="1:11" x14ac:dyDescent="0.35">
      <c r="A1013" s="1">
        <v>45586</v>
      </c>
      <c r="B1013" s="3" t="s">
        <v>20</v>
      </c>
      <c r="C1013" s="3" t="s">
        <v>17</v>
      </c>
      <c r="D1013" s="3" t="s">
        <v>15</v>
      </c>
      <c r="E1013" s="4">
        <v>17</v>
      </c>
      <c r="F1013" s="4">
        <v>570</v>
      </c>
      <c r="G1013" s="3" t="s">
        <v>19</v>
      </c>
      <c r="H1013">
        <v>9690</v>
      </c>
      <c r="I1013">
        <v>5860.7448109999996</v>
      </c>
      <c r="J1013">
        <v>3829.255189</v>
      </c>
      <c r="K1013" s="5">
        <f>IF(Table1[[#This Row],[Revenue]]=0, 0, Table1[[#This Row],[Profit]]/Table1[[#This Row],[Revenue]])</f>
        <v>0.39517597409700722</v>
      </c>
    </row>
    <row r="1014" spans="1:11" x14ac:dyDescent="0.35">
      <c r="A1014" s="1">
        <v>45395</v>
      </c>
      <c r="B1014" s="3" t="s">
        <v>27</v>
      </c>
      <c r="C1014" s="3" t="s">
        <v>17</v>
      </c>
      <c r="D1014" s="3" t="s">
        <v>25</v>
      </c>
      <c r="E1014" s="4">
        <v>4</v>
      </c>
      <c r="F1014" s="4">
        <v>248</v>
      </c>
      <c r="G1014" s="3" t="s">
        <v>19</v>
      </c>
      <c r="H1014">
        <v>992</v>
      </c>
      <c r="I1014">
        <v>645.36335840000004</v>
      </c>
      <c r="J1014">
        <v>346.63664160000002</v>
      </c>
      <c r="K1014" s="5">
        <f>IF(Table1[[#This Row],[Revenue]]=0, 0, Table1[[#This Row],[Profit]]/Table1[[#This Row],[Revenue]])</f>
        <v>0.34943209838709677</v>
      </c>
    </row>
    <row r="1015" spans="1:11" x14ac:dyDescent="0.35">
      <c r="A1015" s="1">
        <v>45305</v>
      </c>
      <c r="B1015" s="3" t="s">
        <v>27</v>
      </c>
      <c r="C1015" s="3" t="s">
        <v>14</v>
      </c>
      <c r="D1015" s="3" t="s">
        <v>30</v>
      </c>
      <c r="E1015" s="4">
        <v>12</v>
      </c>
      <c r="F1015" s="4">
        <v>187</v>
      </c>
      <c r="G1015" s="3" t="s">
        <v>16</v>
      </c>
      <c r="H1015">
        <v>2244</v>
      </c>
      <c r="I1015">
        <v>1425.9027369999999</v>
      </c>
      <c r="J1015">
        <v>818.09726320000004</v>
      </c>
      <c r="K1015" s="5">
        <f>IF(Table1[[#This Row],[Revenue]]=0, 0, Table1[[#This Row],[Profit]]/Table1[[#This Row],[Revenue]])</f>
        <v>0.36457097290552587</v>
      </c>
    </row>
    <row r="1016" spans="1:11" x14ac:dyDescent="0.35">
      <c r="A1016" s="1">
        <v>45579</v>
      </c>
      <c r="B1016" s="3" t="s">
        <v>27</v>
      </c>
      <c r="C1016" s="3" t="s">
        <v>31</v>
      </c>
      <c r="D1016" s="3" t="s">
        <v>12</v>
      </c>
      <c r="E1016" s="4">
        <v>10</v>
      </c>
      <c r="F1016" s="4">
        <v>1447</v>
      </c>
      <c r="G1016" s="3" t="s">
        <v>19</v>
      </c>
      <c r="H1016">
        <v>14470</v>
      </c>
      <c r="I1016">
        <v>11829.8226</v>
      </c>
      <c r="J1016">
        <v>2640.1774</v>
      </c>
      <c r="K1016" s="5">
        <f>IF(Table1[[#This Row],[Revenue]]=0, 0, Table1[[#This Row],[Profit]]/Table1[[#This Row],[Revenue]])</f>
        <v>0.18245870076019349</v>
      </c>
    </row>
    <row r="1017" spans="1:11" x14ac:dyDescent="0.35">
      <c r="A1017" s="1">
        <v>45470</v>
      </c>
      <c r="B1017" s="3" t="s">
        <v>23</v>
      </c>
      <c r="C1017" s="3" t="s">
        <v>17</v>
      </c>
      <c r="D1017" s="3" t="s">
        <v>25</v>
      </c>
      <c r="E1017" s="4">
        <v>6</v>
      </c>
      <c r="F1017" s="4">
        <v>495</v>
      </c>
      <c r="G1017" s="3" t="s">
        <v>19</v>
      </c>
      <c r="H1017">
        <v>2970</v>
      </c>
      <c r="I1017">
        <v>2278.2930769999998</v>
      </c>
      <c r="J1017">
        <v>691.70692280000003</v>
      </c>
      <c r="K1017" s="5">
        <f>IF(Table1[[#This Row],[Revenue]]=0, 0, Table1[[#This Row],[Profit]]/Table1[[#This Row],[Revenue]])</f>
        <v>0.23289795380471381</v>
      </c>
    </row>
    <row r="1018" spans="1:11" x14ac:dyDescent="0.35">
      <c r="A1018" s="1">
        <v>45416</v>
      </c>
      <c r="B1018" s="3" t="s">
        <v>23</v>
      </c>
      <c r="C1018" s="3" t="s">
        <v>28</v>
      </c>
      <c r="D1018" s="3" t="s">
        <v>32</v>
      </c>
      <c r="E1018" s="4">
        <v>1</v>
      </c>
      <c r="F1018" s="4">
        <v>889</v>
      </c>
      <c r="G1018" s="3" t="s">
        <v>16</v>
      </c>
      <c r="H1018">
        <v>889</v>
      </c>
      <c r="I1018">
        <v>673.67109559999994</v>
      </c>
      <c r="J1018">
        <v>215.3289044</v>
      </c>
      <c r="K1018" s="5">
        <f>IF(Table1[[#This Row],[Revenue]]=0, 0, Table1[[#This Row],[Profit]]/Table1[[#This Row],[Revenue]])</f>
        <v>0.24221474060742407</v>
      </c>
    </row>
    <row r="1019" spans="1:11" x14ac:dyDescent="0.35">
      <c r="A1019" s="1">
        <v>45644</v>
      </c>
      <c r="B1019" s="3" t="s">
        <v>20</v>
      </c>
      <c r="C1019" s="3" t="s">
        <v>24</v>
      </c>
      <c r="D1019" s="3" t="s">
        <v>29</v>
      </c>
      <c r="E1019" s="4">
        <v>7</v>
      </c>
      <c r="F1019" s="4">
        <v>1527</v>
      </c>
      <c r="G1019" s="3" t="s">
        <v>19</v>
      </c>
      <c r="H1019">
        <v>10689</v>
      </c>
      <c r="I1019">
        <v>7224.2695720000002</v>
      </c>
      <c r="J1019">
        <v>3464.7304279999998</v>
      </c>
      <c r="K1019" s="5">
        <f>IF(Table1[[#This Row],[Revenue]]=0, 0, Table1[[#This Row],[Profit]]/Table1[[#This Row],[Revenue]])</f>
        <v>0.32413980989802599</v>
      </c>
    </row>
    <row r="1020" spans="1:11" x14ac:dyDescent="0.35">
      <c r="A1020" s="1">
        <v>45314</v>
      </c>
      <c r="B1020" s="3" t="s">
        <v>43</v>
      </c>
      <c r="C1020" s="3" t="s">
        <v>26</v>
      </c>
      <c r="D1020" s="3" t="s">
        <v>30</v>
      </c>
      <c r="E1020" s="4">
        <v>16</v>
      </c>
      <c r="F1020" s="4">
        <v>1205</v>
      </c>
      <c r="G1020" s="3" t="s">
        <v>19</v>
      </c>
      <c r="H1020">
        <v>19280</v>
      </c>
      <c r="I1020">
        <v>12462.24999</v>
      </c>
      <c r="J1020">
        <v>6817.750008</v>
      </c>
      <c r="K1020" s="5">
        <f>IF(Table1[[#This Row],[Revenue]]=0, 0, Table1[[#This Row],[Profit]]/Table1[[#This Row],[Revenue]])</f>
        <v>0.35361773900414939</v>
      </c>
    </row>
    <row r="1021" spans="1:11" x14ac:dyDescent="0.35">
      <c r="A1021" s="1">
        <v>45354</v>
      </c>
      <c r="B1021" s="3" t="s">
        <v>23</v>
      </c>
      <c r="C1021" s="3" t="s">
        <v>26</v>
      </c>
      <c r="D1021" s="3" t="s">
        <v>18</v>
      </c>
      <c r="E1021" s="4">
        <v>14</v>
      </c>
      <c r="F1021" s="4">
        <v>1764</v>
      </c>
      <c r="G1021" s="3" t="s">
        <v>19</v>
      </c>
      <c r="H1021">
        <v>24696</v>
      </c>
      <c r="I1021">
        <v>16347.872600000001</v>
      </c>
      <c r="J1021">
        <v>8348.1274020000001</v>
      </c>
      <c r="K1021" s="5">
        <f>IF(Table1[[#This Row],[Revenue]]=0, 0, Table1[[#This Row],[Profit]]/Table1[[#This Row],[Revenue]])</f>
        <v>0.33803560908649172</v>
      </c>
    </row>
    <row r="1022" spans="1:11" x14ac:dyDescent="0.35">
      <c r="A1022" s="1">
        <v>45444</v>
      </c>
      <c r="B1022" s="3" t="s">
        <v>23</v>
      </c>
      <c r="C1022" s="3" t="s">
        <v>14</v>
      </c>
      <c r="D1022" s="3" t="s">
        <v>12</v>
      </c>
      <c r="E1022" s="4">
        <v>5</v>
      </c>
      <c r="F1022" s="4">
        <v>1505</v>
      </c>
      <c r="G1022" s="3" t="s">
        <v>16</v>
      </c>
      <c r="H1022">
        <v>7525</v>
      </c>
      <c r="I1022">
        <v>6185.8732890000001</v>
      </c>
      <c r="J1022">
        <v>1339.1267109999999</v>
      </c>
      <c r="K1022" s="5">
        <f>IF(Table1[[#This Row],[Revenue]]=0, 0, Table1[[#This Row],[Profit]]/Table1[[#This Row],[Revenue]])</f>
        <v>0.1779570380066445</v>
      </c>
    </row>
    <row r="1023" spans="1:11" x14ac:dyDescent="0.35">
      <c r="A1023" s="1">
        <v>45436</v>
      </c>
      <c r="B1023" s="3" t="s">
        <v>27</v>
      </c>
      <c r="C1023" s="3" t="s">
        <v>17</v>
      </c>
      <c r="D1023" s="3" t="s">
        <v>12</v>
      </c>
      <c r="E1023" s="4">
        <v>18</v>
      </c>
      <c r="F1023" s="4">
        <v>964</v>
      </c>
      <c r="G1023" s="3" t="s">
        <v>19</v>
      </c>
      <c r="H1023">
        <v>17352</v>
      </c>
      <c r="I1023">
        <v>11736.111699999999</v>
      </c>
      <c r="J1023">
        <v>5615.888301</v>
      </c>
      <c r="K1023" s="5">
        <f>IF(Table1[[#This Row],[Revenue]]=0, 0, Table1[[#This Row],[Profit]]/Table1[[#This Row],[Revenue]])</f>
        <v>0.32364501504149379</v>
      </c>
    </row>
    <row r="1024" spans="1:11" x14ac:dyDescent="0.35">
      <c r="A1024" s="1">
        <v>45516</v>
      </c>
      <c r="B1024" s="3" t="s">
        <v>23</v>
      </c>
      <c r="C1024" s="3" t="s">
        <v>24</v>
      </c>
      <c r="D1024" s="3" t="s">
        <v>25</v>
      </c>
      <c r="E1024" s="4">
        <v>15</v>
      </c>
      <c r="F1024" s="4">
        <v>1915</v>
      </c>
      <c r="G1024" s="3" t="s">
        <v>19</v>
      </c>
      <c r="H1024">
        <v>28725</v>
      </c>
      <c r="I1024">
        <v>23255.29754</v>
      </c>
      <c r="J1024">
        <v>5469.7024620000002</v>
      </c>
      <c r="K1024" s="5">
        <f>IF(Table1[[#This Row],[Revenue]]=0, 0, Table1[[#This Row],[Profit]]/Table1[[#This Row],[Revenue]])</f>
        <v>0.19041609963446476</v>
      </c>
    </row>
    <row r="1025" spans="1:11" x14ac:dyDescent="0.35">
      <c r="A1025" s="1">
        <v>45600</v>
      </c>
      <c r="B1025" s="3" t="s">
        <v>27</v>
      </c>
      <c r="C1025" s="3" t="s">
        <v>26</v>
      </c>
      <c r="D1025" s="3" t="s">
        <v>29</v>
      </c>
      <c r="E1025" s="4">
        <v>6</v>
      </c>
      <c r="F1025" s="4">
        <v>1393</v>
      </c>
      <c r="G1025" s="3" t="s">
        <v>19</v>
      </c>
      <c r="H1025">
        <v>8358</v>
      </c>
      <c r="I1025">
        <v>6247.2167380000001</v>
      </c>
      <c r="J1025">
        <v>2110.7832619999999</v>
      </c>
      <c r="K1025" s="5">
        <f>IF(Table1[[#This Row],[Revenue]]=0, 0, Table1[[#This Row],[Profit]]/Table1[[#This Row],[Revenue]])</f>
        <v>0.25254645393634839</v>
      </c>
    </row>
    <row r="1026" spans="1:11" x14ac:dyDescent="0.35">
      <c r="A1026" s="1">
        <v>45395</v>
      </c>
      <c r="B1026" s="3" t="s">
        <v>20</v>
      </c>
      <c r="C1026" s="3" t="s">
        <v>26</v>
      </c>
      <c r="D1026" s="3" t="s">
        <v>18</v>
      </c>
      <c r="E1026" s="4">
        <v>19</v>
      </c>
      <c r="F1026" s="4">
        <v>1415</v>
      </c>
      <c r="G1026" s="3" t="s">
        <v>19</v>
      </c>
      <c r="H1026">
        <v>26885</v>
      </c>
      <c r="I1026">
        <v>23272.523160000001</v>
      </c>
      <c r="J1026">
        <v>3612.4768359999998</v>
      </c>
      <c r="K1026" s="5">
        <f>IF(Table1[[#This Row],[Revenue]]=0, 0, Table1[[#This Row],[Profit]]/Table1[[#This Row],[Revenue]])</f>
        <v>0.134367745434257</v>
      </c>
    </row>
    <row r="1027" spans="1:11" x14ac:dyDescent="0.35">
      <c r="A1027" s="1">
        <v>45395</v>
      </c>
      <c r="B1027" s="3" t="s">
        <v>10</v>
      </c>
      <c r="C1027" s="3" t="s">
        <v>22</v>
      </c>
      <c r="D1027" s="3" t="s">
        <v>32</v>
      </c>
      <c r="E1027" s="4">
        <v>1</v>
      </c>
      <c r="F1027" s="4">
        <v>1576</v>
      </c>
      <c r="G1027" s="3" t="s">
        <v>13</v>
      </c>
      <c r="H1027">
        <v>1576</v>
      </c>
      <c r="I1027">
        <v>1055.722004</v>
      </c>
      <c r="J1027">
        <v>520.27799560000005</v>
      </c>
      <c r="K1027" s="5">
        <f>IF(Table1[[#This Row],[Revenue]]=0, 0, Table1[[#This Row],[Profit]]/Table1[[#This Row],[Revenue]])</f>
        <v>0.33012563172588838</v>
      </c>
    </row>
    <row r="1028" spans="1:11" x14ac:dyDescent="0.35">
      <c r="A1028" s="1">
        <v>45330</v>
      </c>
      <c r="B1028" s="3" t="s">
        <v>20</v>
      </c>
      <c r="C1028" s="3" t="s">
        <v>14</v>
      </c>
      <c r="D1028" s="3" t="s">
        <v>18</v>
      </c>
      <c r="E1028" s="4">
        <v>1</v>
      </c>
      <c r="F1028" s="4">
        <v>1838</v>
      </c>
      <c r="G1028" s="3" t="s">
        <v>16</v>
      </c>
      <c r="H1028">
        <v>1838</v>
      </c>
      <c r="I1028">
        <v>1351.4023749999999</v>
      </c>
      <c r="J1028">
        <v>486.59762519999998</v>
      </c>
      <c r="K1028" s="5">
        <f>IF(Table1[[#This Row],[Revenue]]=0, 0, Table1[[#This Row],[Profit]]/Table1[[#This Row],[Revenue]])</f>
        <v>0.26474299521218714</v>
      </c>
    </row>
    <row r="1029" spans="1:11" x14ac:dyDescent="0.35">
      <c r="A1029" s="1">
        <v>45489</v>
      </c>
      <c r="B1029" s="3" t="s">
        <v>27</v>
      </c>
      <c r="C1029" s="3" t="s">
        <v>22</v>
      </c>
      <c r="D1029" s="3" t="s">
        <v>29</v>
      </c>
      <c r="E1029" s="4">
        <v>13</v>
      </c>
      <c r="F1029" s="4">
        <v>123</v>
      </c>
      <c r="G1029" s="3" t="s">
        <v>13</v>
      </c>
      <c r="H1029">
        <v>1599</v>
      </c>
      <c r="I1029">
        <v>1005.770089</v>
      </c>
      <c r="J1029">
        <v>593.22991119999995</v>
      </c>
      <c r="K1029" s="5">
        <f>IF(Table1[[#This Row],[Revenue]]=0, 0, Table1[[#This Row],[Profit]]/Table1[[#This Row],[Revenue]])</f>
        <v>0.37100056985616009</v>
      </c>
    </row>
    <row r="1030" spans="1:11" x14ac:dyDescent="0.35">
      <c r="A1030" s="1">
        <v>45425</v>
      </c>
      <c r="B1030" s="3" t="s">
        <v>27</v>
      </c>
      <c r="C1030" s="3" t="s">
        <v>28</v>
      </c>
      <c r="D1030" s="3" t="s">
        <v>32</v>
      </c>
      <c r="E1030" s="4">
        <v>3</v>
      </c>
      <c r="F1030" s="4">
        <v>1055</v>
      </c>
      <c r="G1030" s="3" t="s">
        <v>16</v>
      </c>
      <c r="H1030">
        <v>3165</v>
      </c>
      <c r="I1030">
        <v>2217.2279090000002</v>
      </c>
      <c r="J1030">
        <v>947.77209110000001</v>
      </c>
      <c r="K1030" s="5">
        <f>IF(Table1[[#This Row],[Revenue]]=0, 0, Table1[[#This Row],[Profit]]/Table1[[#This Row],[Revenue]])</f>
        <v>0.29945405721958929</v>
      </c>
    </row>
    <row r="1031" spans="1:11" x14ac:dyDescent="0.35">
      <c r="A1031" s="1">
        <v>45358</v>
      </c>
      <c r="B1031" s="3" t="s">
        <v>27</v>
      </c>
      <c r="C1031" s="3" t="s">
        <v>26</v>
      </c>
      <c r="D1031" s="3" t="s">
        <v>18</v>
      </c>
      <c r="E1031" s="4">
        <v>10</v>
      </c>
      <c r="F1031" s="4">
        <v>1986</v>
      </c>
      <c r="G1031" s="3" t="s">
        <v>19</v>
      </c>
      <c r="H1031">
        <v>19860</v>
      </c>
      <c r="I1031">
        <v>14935.993689999999</v>
      </c>
      <c r="J1031">
        <v>4924.0063140000002</v>
      </c>
      <c r="K1031" s="5">
        <f>IF(Table1[[#This Row],[Revenue]]=0, 0, Table1[[#This Row],[Profit]]/Table1[[#This Row],[Revenue]])</f>
        <v>0.24793586676737162</v>
      </c>
    </row>
    <row r="1032" spans="1:11" x14ac:dyDescent="0.35">
      <c r="A1032" s="1">
        <v>45470</v>
      </c>
      <c r="B1032" s="3" t="s">
        <v>10</v>
      </c>
      <c r="C1032" s="3" t="s">
        <v>31</v>
      </c>
      <c r="D1032" s="3" t="s">
        <v>32</v>
      </c>
      <c r="E1032" s="4">
        <v>3</v>
      </c>
      <c r="F1032" s="4">
        <v>410</v>
      </c>
      <c r="G1032" s="3" t="s">
        <v>19</v>
      </c>
      <c r="H1032">
        <v>1230</v>
      </c>
      <c r="I1032">
        <v>1008.381139</v>
      </c>
      <c r="J1032">
        <v>221.61886089999999</v>
      </c>
      <c r="K1032" s="5">
        <f>IF(Table1[[#This Row],[Revenue]]=0, 0, Table1[[#This Row],[Profit]]/Table1[[#This Row],[Revenue]])</f>
        <v>0.18017793569105689</v>
      </c>
    </row>
    <row r="1033" spans="1:11" x14ac:dyDescent="0.35">
      <c r="A1033" s="1">
        <v>45333</v>
      </c>
      <c r="B1033" s="3" t="s">
        <v>23</v>
      </c>
      <c r="C1033" s="3" t="s">
        <v>11</v>
      </c>
      <c r="D1033" s="3" t="s">
        <v>25</v>
      </c>
      <c r="E1033" s="4">
        <v>9</v>
      </c>
      <c r="F1033" s="4">
        <v>1584</v>
      </c>
      <c r="G1033" s="3" t="s">
        <v>13</v>
      </c>
      <c r="H1033">
        <v>14256</v>
      </c>
      <c r="I1033">
        <v>9400.7362269999994</v>
      </c>
      <c r="J1033">
        <v>4855.2637729999997</v>
      </c>
      <c r="K1033" s="5">
        <f>IF(Table1[[#This Row],[Revenue]]=0, 0, Table1[[#This Row],[Profit]]/Table1[[#This Row],[Revenue]])</f>
        <v>0.34057686398709314</v>
      </c>
    </row>
    <row r="1034" spans="1:11" x14ac:dyDescent="0.35">
      <c r="A1034" s="1">
        <v>45306</v>
      </c>
      <c r="B1034" s="3" t="s">
        <v>20</v>
      </c>
      <c r="C1034" s="3" t="s">
        <v>11</v>
      </c>
      <c r="D1034" s="3" t="s">
        <v>25</v>
      </c>
      <c r="E1034" s="4">
        <v>8</v>
      </c>
      <c r="F1034" s="4">
        <v>1331</v>
      </c>
      <c r="G1034" s="3" t="s">
        <v>13</v>
      </c>
      <c r="H1034">
        <v>10648</v>
      </c>
      <c r="I1034">
        <v>7085.4734950000002</v>
      </c>
      <c r="J1034">
        <v>3562.5265049999998</v>
      </c>
      <c r="K1034" s="5">
        <f>IF(Table1[[#This Row],[Revenue]]=0, 0, Table1[[#This Row],[Profit]]/Table1[[#This Row],[Revenue]])</f>
        <v>0.33457236147633357</v>
      </c>
    </row>
    <row r="1035" spans="1:11" x14ac:dyDescent="0.35">
      <c r="A1035" s="1">
        <v>45402</v>
      </c>
      <c r="B1035" s="3" t="s">
        <v>20</v>
      </c>
      <c r="C1035" s="3" t="s">
        <v>24</v>
      </c>
      <c r="D1035" s="3" t="s">
        <v>29</v>
      </c>
      <c r="E1035" s="4">
        <v>3</v>
      </c>
      <c r="F1035" s="4">
        <v>1915</v>
      </c>
      <c r="G1035" s="3" t="s">
        <v>19</v>
      </c>
      <c r="H1035">
        <v>5745</v>
      </c>
      <c r="I1035">
        <v>4535.5244080000002</v>
      </c>
      <c r="J1035">
        <v>1209.475592</v>
      </c>
      <c r="K1035" s="5">
        <f>IF(Table1[[#This Row],[Revenue]]=0, 0, Table1[[#This Row],[Profit]]/Table1[[#This Row],[Revenue]])</f>
        <v>0.21052664786771105</v>
      </c>
    </row>
    <row r="1036" spans="1:11" x14ac:dyDescent="0.35">
      <c r="A1036" s="1">
        <v>45448</v>
      </c>
      <c r="B1036" s="3" t="s">
        <v>23</v>
      </c>
      <c r="C1036" s="3" t="s">
        <v>26</v>
      </c>
      <c r="D1036" s="3" t="s">
        <v>29</v>
      </c>
      <c r="E1036" s="4">
        <v>13</v>
      </c>
      <c r="F1036" s="4">
        <v>1840</v>
      </c>
      <c r="G1036" s="3" t="s">
        <v>19</v>
      </c>
      <c r="H1036">
        <v>23920</v>
      </c>
      <c r="I1036">
        <v>17096.517049999999</v>
      </c>
      <c r="J1036">
        <v>6823.4829460000001</v>
      </c>
      <c r="K1036" s="5">
        <f>IF(Table1[[#This Row],[Revenue]]=0, 0, Table1[[#This Row],[Profit]]/Table1[[#This Row],[Revenue]])</f>
        <v>0.28526266496655517</v>
      </c>
    </row>
    <row r="1037" spans="1:11" x14ac:dyDescent="0.35">
      <c r="A1037" s="1">
        <v>45580</v>
      </c>
      <c r="B1037" s="3" t="s">
        <v>20</v>
      </c>
      <c r="C1037" s="3" t="s">
        <v>26</v>
      </c>
      <c r="D1037" s="3" t="s">
        <v>32</v>
      </c>
      <c r="E1037" s="4">
        <v>6</v>
      </c>
      <c r="F1037" s="4">
        <v>763</v>
      </c>
      <c r="G1037" s="3" t="s">
        <v>19</v>
      </c>
      <c r="H1037">
        <v>4578</v>
      </c>
      <c r="I1037">
        <v>3408.909091</v>
      </c>
      <c r="J1037">
        <v>1169.090909</v>
      </c>
      <c r="K1037" s="5">
        <f>IF(Table1[[#This Row],[Revenue]]=0, 0, Table1[[#This Row],[Profit]]/Table1[[#This Row],[Revenue]])</f>
        <v>0.25537153975535171</v>
      </c>
    </row>
    <row r="1038" spans="1:11" x14ac:dyDescent="0.35">
      <c r="A1038" s="1">
        <v>45522</v>
      </c>
      <c r="B1038" s="3" t="s">
        <v>10</v>
      </c>
      <c r="C1038" s="3" t="s">
        <v>28</v>
      </c>
      <c r="D1038" s="3" t="s">
        <v>21</v>
      </c>
      <c r="E1038" s="4">
        <v>13</v>
      </c>
      <c r="F1038" s="4">
        <v>537</v>
      </c>
      <c r="G1038" s="3" t="s">
        <v>16</v>
      </c>
      <c r="H1038">
        <v>6981</v>
      </c>
      <c r="I1038">
        <v>5939.7172559999999</v>
      </c>
      <c r="J1038">
        <v>1041.2827440000001</v>
      </c>
      <c r="K1038" s="5">
        <f>IF(Table1[[#This Row],[Revenue]]=0, 0, Table1[[#This Row],[Profit]]/Table1[[#This Row],[Revenue]])</f>
        <v>0.1491595393210142</v>
      </c>
    </row>
    <row r="1039" spans="1:11" x14ac:dyDescent="0.35">
      <c r="A1039" s="1">
        <v>45448</v>
      </c>
      <c r="B1039" s="3" t="s">
        <v>20</v>
      </c>
      <c r="C1039" s="3" t="s">
        <v>26</v>
      </c>
      <c r="D1039" s="3" t="s">
        <v>30</v>
      </c>
      <c r="E1039" s="4">
        <v>12</v>
      </c>
      <c r="F1039" s="4">
        <v>1661</v>
      </c>
      <c r="G1039" s="3" t="s">
        <v>19</v>
      </c>
      <c r="H1039">
        <v>19932</v>
      </c>
      <c r="I1039">
        <v>14943.51851</v>
      </c>
      <c r="J1039">
        <v>4988.4814930000002</v>
      </c>
      <c r="K1039" s="5">
        <f>IF(Table1[[#This Row],[Revenue]]=0, 0, Table1[[#This Row],[Profit]]/Table1[[#This Row],[Revenue]])</f>
        <v>0.25027500968292193</v>
      </c>
    </row>
    <row r="1040" spans="1:11" x14ac:dyDescent="0.35">
      <c r="A1040" s="1">
        <v>45329</v>
      </c>
      <c r="B1040" s="3" t="s">
        <v>27</v>
      </c>
      <c r="C1040" s="3" t="s">
        <v>31</v>
      </c>
      <c r="D1040" s="3" t="s">
        <v>12</v>
      </c>
      <c r="E1040" s="4">
        <v>13</v>
      </c>
      <c r="F1040" s="4">
        <v>805</v>
      </c>
      <c r="G1040" s="3" t="s">
        <v>19</v>
      </c>
      <c r="H1040">
        <v>10465</v>
      </c>
      <c r="I1040">
        <v>8327.5218050000003</v>
      </c>
      <c r="J1040">
        <v>2137.4781950000001</v>
      </c>
      <c r="K1040" s="5">
        <f>IF(Table1[[#This Row],[Revenue]]=0, 0, Table1[[#This Row],[Profit]]/Table1[[#This Row],[Revenue]])</f>
        <v>0.20425018585762064</v>
      </c>
    </row>
    <row r="1041" spans="1:11" x14ac:dyDescent="0.35">
      <c r="A1041" s="1">
        <v>45388</v>
      </c>
      <c r="B1041" s="3" t="s">
        <v>23</v>
      </c>
      <c r="C1041" s="3" t="s">
        <v>22</v>
      </c>
      <c r="D1041" s="3" t="s">
        <v>18</v>
      </c>
      <c r="E1041" s="4">
        <v>2</v>
      </c>
      <c r="F1041" s="4">
        <v>1459</v>
      </c>
      <c r="G1041" s="3" t="s">
        <v>13</v>
      </c>
      <c r="H1041">
        <v>2918</v>
      </c>
      <c r="I1041">
        <v>2325.740871</v>
      </c>
      <c r="J1041">
        <v>592.25912849999997</v>
      </c>
      <c r="K1041" s="5">
        <f>IF(Table1[[#This Row],[Revenue]]=0, 0, Table1[[#This Row],[Profit]]/Table1[[#This Row],[Revenue]])</f>
        <v>0.20296748749143248</v>
      </c>
    </row>
    <row r="1042" spans="1:11" x14ac:dyDescent="0.35">
      <c r="A1042" s="1">
        <v>45580</v>
      </c>
      <c r="B1042" s="3" t="s">
        <v>10</v>
      </c>
      <c r="C1042" s="3" t="s">
        <v>26</v>
      </c>
      <c r="D1042" s="3" t="s">
        <v>18</v>
      </c>
      <c r="E1042" s="4">
        <v>16</v>
      </c>
      <c r="F1042" s="4">
        <v>521</v>
      </c>
      <c r="G1042" s="3" t="s">
        <v>19</v>
      </c>
      <c r="H1042">
        <v>8336</v>
      </c>
      <c r="I1042">
        <v>7011.272747</v>
      </c>
      <c r="J1042">
        <v>1324.727253</v>
      </c>
      <c r="K1042" s="5">
        <f>IF(Table1[[#This Row],[Revenue]]=0, 0, Table1[[#This Row],[Profit]]/Table1[[#This Row],[Revenue]])</f>
        <v>0.1589164171065259</v>
      </c>
    </row>
    <row r="1043" spans="1:11" x14ac:dyDescent="0.35">
      <c r="A1043" s="1">
        <v>45545</v>
      </c>
      <c r="B1043" s="3" t="s">
        <v>23</v>
      </c>
      <c r="C1043" s="3" t="s">
        <v>26</v>
      </c>
      <c r="D1043" s="3" t="s">
        <v>21</v>
      </c>
      <c r="E1043" s="4">
        <v>6</v>
      </c>
      <c r="F1043" s="4">
        <v>1873</v>
      </c>
      <c r="G1043" s="3" t="s">
        <v>19</v>
      </c>
      <c r="H1043">
        <v>11238</v>
      </c>
      <c r="I1043">
        <v>8894.2234709999993</v>
      </c>
      <c r="J1043">
        <v>2343.7765290000002</v>
      </c>
      <c r="K1043" s="5">
        <f>IF(Table1[[#This Row],[Revenue]]=0, 0, Table1[[#This Row],[Profit]]/Table1[[#This Row],[Revenue]])</f>
        <v>0.20855815349706355</v>
      </c>
    </row>
    <row r="1044" spans="1:11" x14ac:dyDescent="0.35">
      <c r="A1044" s="1">
        <v>45487</v>
      </c>
      <c r="B1044" s="3" t="s">
        <v>10</v>
      </c>
      <c r="C1044" s="3" t="s">
        <v>28</v>
      </c>
      <c r="D1044" s="3" t="s">
        <v>21</v>
      </c>
      <c r="E1044" s="4">
        <v>19</v>
      </c>
      <c r="F1044" s="4">
        <v>420</v>
      </c>
      <c r="G1044" s="3" t="s">
        <v>16</v>
      </c>
      <c r="H1044">
        <v>7980</v>
      </c>
      <c r="I1044">
        <v>4943.1547229999996</v>
      </c>
      <c r="J1044">
        <v>3036.8452769999999</v>
      </c>
      <c r="K1044" s="5">
        <f>IF(Table1[[#This Row],[Revenue]]=0, 0, Table1[[#This Row],[Profit]]/Table1[[#This Row],[Revenue]])</f>
        <v>0.38055705225563907</v>
      </c>
    </row>
    <row r="1045" spans="1:11" x14ac:dyDescent="0.35">
      <c r="A1045" s="1">
        <v>45377</v>
      </c>
      <c r="B1045" s="3" t="s">
        <v>27</v>
      </c>
      <c r="C1045" s="3" t="s">
        <v>14</v>
      </c>
      <c r="D1045" s="3" t="s">
        <v>21</v>
      </c>
      <c r="E1045" s="4">
        <v>13</v>
      </c>
      <c r="F1045" s="4">
        <v>1620</v>
      </c>
      <c r="G1045" s="3" t="s">
        <v>16</v>
      </c>
      <c r="H1045">
        <v>21060</v>
      </c>
      <c r="I1045">
        <v>14797.848900000001</v>
      </c>
      <c r="J1045">
        <v>6262.1510950000002</v>
      </c>
      <c r="K1045" s="5">
        <f>IF(Table1[[#This Row],[Revenue]]=0, 0, Table1[[#This Row],[Profit]]/Table1[[#This Row],[Revenue]])</f>
        <v>0.29734810517568849</v>
      </c>
    </row>
    <row r="1046" spans="1:11" x14ac:dyDescent="0.35">
      <c r="A1046" s="1">
        <v>45613</v>
      </c>
      <c r="B1046" s="3" t="s">
        <v>23</v>
      </c>
      <c r="C1046" s="3" t="s">
        <v>17</v>
      </c>
      <c r="D1046" s="3" t="s">
        <v>15</v>
      </c>
      <c r="E1046" s="4">
        <v>17</v>
      </c>
      <c r="F1046" s="4">
        <v>686</v>
      </c>
      <c r="G1046" s="3" t="s">
        <v>19</v>
      </c>
      <c r="H1046">
        <v>11662</v>
      </c>
      <c r="I1046">
        <v>10458.4216</v>
      </c>
      <c r="J1046">
        <v>1203.5784000000001</v>
      </c>
      <c r="K1046" s="5">
        <f>IF(Table1[[#This Row],[Revenue]]=0, 0, Table1[[#This Row],[Profit]]/Table1[[#This Row],[Revenue]])</f>
        <v>0.1032051449151089</v>
      </c>
    </row>
    <row r="1047" spans="1:11" x14ac:dyDescent="0.35">
      <c r="A1047" s="1">
        <v>45301</v>
      </c>
      <c r="B1047" s="3" t="s">
        <v>20</v>
      </c>
      <c r="C1047" s="3" t="s">
        <v>14</v>
      </c>
      <c r="D1047" s="3" t="s">
        <v>15</v>
      </c>
      <c r="E1047" s="4">
        <v>9</v>
      </c>
      <c r="F1047" s="4">
        <v>1046</v>
      </c>
      <c r="G1047" s="3" t="s">
        <v>16</v>
      </c>
      <c r="H1047">
        <v>9414</v>
      </c>
      <c r="I1047">
        <v>6203.3843580000002</v>
      </c>
      <c r="J1047">
        <v>3210.6156420000002</v>
      </c>
      <c r="K1047" s="5">
        <f>IF(Table1[[#This Row],[Revenue]]=0, 0, Table1[[#This Row],[Profit]]/Table1[[#This Row],[Revenue]])</f>
        <v>0.3410469133205864</v>
      </c>
    </row>
    <row r="1048" spans="1:11" x14ac:dyDescent="0.35">
      <c r="A1048" s="1">
        <v>45296</v>
      </c>
      <c r="B1048" s="3" t="s">
        <v>10</v>
      </c>
      <c r="C1048" s="3" t="s">
        <v>28</v>
      </c>
      <c r="D1048" s="3" t="s">
        <v>32</v>
      </c>
      <c r="E1048" s="4">
        <v>17</v>
      </c>
      <c r="F1048" s="4">
        <v>1286</v>
      </c>
      <c r="G1048" s="3" t="s">
        <v>16</v>
      </c>
      <c r="H1048">
        <v>21862</v>
      </c>
      <c r="I1048">
        <v>16965.321329999999</v>
      </c>
      <c r="J1048">
        <v>4896.6786659999998</v>
      </c>
      <c r="K1048" s="5">
        <f>IF(Table1[[#This Row],[Revenue]]=0, 0, Table1[[#This Row],[Profit]]/Table1[[#This Row],[Revenue]])</f>
        <v>0.22398127646143992</v>
      </c>
    </row>
    <row r="1049" spans="1:11" x14ac:dyDescent="0.35">
      <c r="A1049" s="1">
        <v>45414</v>
      </c>
      <c r="B1049" s="3" t="s">
        <v>23</v>
      </c>
      <c r="C1049" s="3" t="s">
        <v>14</v>
      </c>
      <c r="D1049" s="3" t="s">
        <v>15</v>
      </c>
      <c r="E1049" s="4">
        <v>2</v>
      </c>
      <c r="F1049" s="4">
        <v>1934</v>
      </c>
      <c r="G1049" s="3" t="s">
        <v>16</v>
      </c>
      <c r="H1049">
        <v>3868</v>
      </c>
      <c r="I1049">
        <v>3298.9483190000001</v>
      </c>
      <c r="J1049">
        <v>569.05168149999997</v>
      </c>
      <c r="K1049" s="5">
        <f>IF(Table1[[#This Row],[Revenue]]=0, 0, Table1[[#This Row],[Profit]]/Table1[[#This Row],[Revenue]])</f>
        <v>0.14711780804033092</v>
      </c>
    </row>
    <row r="1050" spans="1:11" x14ac:dyDescent="0.35">
      <c r="A1050" s="1">
        <v>45621</v>
      </c>
      <c r="B1050" s="3" t="s">
        <v>20</v>
      </c>
      <c r="C1050" s="3" t="s">
        <v>38</v>
      </c>
      <c r="D1050" s="3" t="s">
        <v>25</v>
      </c>
      <c r="E1050" s="4">
        <v>19</v>
      </c>
      <c r="F1050" s="4">
        <v>1664</v>
      </c>
      <c r="G1050" s="3" t="s">
        <v>16</v>
      </c>
      <c r="H1050">
        <v>31616</v>
      </c>
      <c r="I1050">
        <v>24532.99064</v>
      </c>
      <c r="J1050">
        <v>7083.0093630000001</v>
      </c>
      <c r="K1050" s="5">
        <f>IF(Table1[[#This Row],[Revenue]]=0, 0, Table1[[#This Row],[Profit]]/Table1[[#This Row],[Revenue]])</f>
        <v>0.22403243177505061</v>
      </c>
    </row>
    <row r="1051" spans="1:11" x14ac:dyDescent="0.35">
      <c r="A1051" s="1">
        <v>45644</v>
      </c>
      <c r="B1051" s="3" t="s">
        <v>23</v>
      </c>
      <c r="C1051" s="3" t="s">
        <v>31</v>
      </c>
      <c r="D1051" s="3" t="s">
        <v>25</v>
      </c>
      <c r="E1051" s="4">
        <v>19</v>
      </c>
      <c r="F1051" s="4">
        <v>1288</v>
      </c>
      <c r="G1051" s="3" t="s">
        <v>19</v>
      </c>
      <c r="H1051">
        <v>24472</v>
      </c>
      <c r="I1051">
        <v>17416.259330000001</v>
      </c>
      <c r="J1051">
        <v>7055.7406730000002</v>
      </c>
      <c r="K1051" s="5">
        <f>IF(Table1[[#This Row],[Revenue]]=0, 0, Table1[[#This Row],[Profit]]/Table1[[#This Row],[Revenue]])</f>
        <v>0.2883189225645636</v>
      </c>
    </row>
    <row r="1052" spans="1:11" x14ac:dyDescent="0.35">
      <c r="A1052" s="1">
        <v>45409</v>
      </c>
      <c r="B1052" s="3" t="s">
        <v>23</v>
      </c>
      <c r="C1052" s="3" t="s">
        <v>24</v>
      </c>
      <c r="D1052" s="3" t="s">
        <v>29</v>
      </c>
      <c r="E1052" s="4">
        <v>7</v>
      </c>
      <c r="F1052" s="4">
        <v>948</v>
      </c>
      <c r="G1052" s="3" t="s">
        <v>19</v>
      </c>
      <c r="H1052">
        <v>6636</v>
      </c>
      <c r="I1052">
        <v>4141.319023</v>
      </c>
      <c r="J1052">
        <v>2494.680977</v>
      </c>
      <c r="K1052" s="5">
        <f>IF(Table1[[#This Row],[Revenue]]=0, 0, Table1[[#This Row],[Profit]]/Table1[[#This Row],[Revenue]])</f>
        <v>0.37593143113321276</v>
      </c>
    </row>
    <row r="1053" spans="1:11" x14ac:dyDescent="0.35">
      <c r="A1053" s="1">
        <v>45585</v>
      </c>
      <c r="B1053" s="3" t="s">
        <v>23</v>
      </c>
      <c r="C1053" s="3" t="s">
        <v>26</v>
      </c>
      <c r="D1053" s="3" t="s">
        <v>12</v>
      </c>
      <c r="E1053" s="4">
        <v>10</v>
      </c>
      <c r="F1053" s="4">
        <v>1821</v>
      </c>
      <c r="G1053" s="3" t="s">
        <v>19</v>
      </c>
      <c r="H1053">
        <v>18210</v>
      </c>
      <c r="I1053">
        <v>12901.77536</v>
      </c>
      <c r="J1053">
        <v>5308.2246370000003</v>
      </c>
      <c r="K1053" s="5">
        <f>IF(Table1[[#This Row],[Revenue]]=0, 0, Table1[[#This Row],[Profit]]/Table1[[#This Row],[Revenue]])</f>
        <v>0.2915005292147172</v>
      </c>
    </row>
    <row r="1054" spans="1:11" x14ac:dyDescent="0.35">
      <c r="A1054" s="1">
        <v>45450</v>
      </c>
      <c r="B1054" s="3" t="s">
        <v>10</v>
      </c>
      <c r="C1054" s="3" t="s">
        <v>28</v>
      </c>
      <c r="D1054" s="3" t="s">
        <v>32</v>
      </c>
      <c r="E1054" s="4">
        <v>10</v>
      </c>
      <c r="F1054" s="4">
        <v>1689</v>
      </c>
      <c r="G1054" s="3" t="s">
        <v>16</v>
      </c>
      <c r="H1054">
        <v>16890</v>
      </c>
      <c r="I1054">
        <v>11056.53608</v>
      </c>
      <c r="J1054">
        <v>5833.4639189999998</v>
      </c>
      <c r="K1054" s="5">
        <f>IF(Table1[[#This Row],[Revenue]]=0, 0, Table1[[#This Row],[Profit]]/Table1[[#This Row],[Revenue]])</f>
        <v>0.34537974653641207</v>
      </c>
    </row>
    <row r="1055" spans="1:11" x14ac:dyDescent="0.35">
      <c r="A1055" s="1">
        <v>45594</v>
      </c>
      <c r="B1055" s="3" t="s">
        <v>20</v>
      </c>
      <c r="C1055" s="3" t="s">
        <v>28</v>
      </c>
      <c r="D1055" s="3" t="s">
        <v>12</v>
      </c>
      <c r="E1055" s="4">
        <v>9</v>
      </c>
      <c r="F1055" s="4">
        <v>1418</v>
      </c>
      <c r="G1055" s="3" t="s">
        <v>16</v>
      </c>
      <c r="H1055">
        <v>12762</v>
      </c>
      <c r="I1055">
        <v>11335.95938</v>
      </c>
      <c r="J1055">
        <v>1426.040622</v>
      </c>
      <c r="K1055" s="5">
        <f>IF(Table1[[#This Row],[Revenue]]=0, 0, Table1[[#This Row],[Profit]]/Table1[[#This Row],[Revenue]])</f>
        <v>0.11174115514809591</v>
      </c>
    </row>
    <row r="1056" spans="1:11" x14ac:dyDescent="0.35">
      <c r="A1056" s="1">
        <v>45519</v>
      </c>
      <c r="B1056" s="3" t="s">
        <v>27</v>
      </c>
      <c r="C1056" s="3" t="s">
        <v>17</v>
      </c>
      <c r="D1056" s="3" t="s">
        <v>18</v>
      </c>
      <c r="E1056" s="4">
        <v>17</v>
      </c>
      <c r="F1056" s="4">
        <v>141</v>
      </c>
      <c r="G1056" s="3" t="s">
        <v>19</v>
      </c>
      <c r="H1056">
        <v>2397</v>
      </c>
      <c r="I1056">
        <v>1952.3793969999999</v>
      </c>
      <c r="J1056">
        <v>444.62060270000001</v>
      </c>
      <c r="K1056" s="5">
        <f>IF(Table1[[#This Row],[Revenue]]=0, 0, Table1[[#This Row],[Profit]]/Table1[[#This Row],[Revenue]])</f>
        <v>0.1854904475177305</v>
      </c>
    </row>
    <row r="1057" spans="1:11" x14ac:dyDescent="0.35">
      <c r="A1057" s="1">
        <v>45507</v>
      </c>
      <c r="B1057" s="3" t="s">
        <v>10</v>
      </c>
      <c r="C1057" s="3" t="s">
        <v>11</v>
      </c>
      <c r="D1057" s="3" t="s">
        <v>29</v>
      </c>
      <c r="E1057" s="4">
        <v>2</v>
      </c>
      <c r="F1057" s="4">
        <v>1038</v>
      </c>
      <c r="G1057" s="3" t="s">
        <v>13</v>
      </c>
      <c r="H1057">
        <v>2076</v>
      </c>
      <c r="I1057">
        <v>1517.1216589999999</v>
      </c>
      <c r="J1057">
        <v>558.87834109999994</v>
      </c>
      <c r="K1057" s="5">
        <f>IF(Table1[[#This Row],[Revenue]]=0, 0, Table1[[#This Row],[Profit]]/Table1[[#This Row],[Revenue]])</f>
        <v>0.26920922018304427</v>
      </c>
    </row>
    <row r="1058" spans="1:11" x14ac:dyDescent="0.35">
      <c r="A1058" s="1">
        <v>45475</v>
      </c>
      <c r="B1058" s="3" t="s">
        <v>10</v>
      </c>
      <c r="C1058" s="3" t="s">
        <v>24</v>
      </c>
      <c r="D1058" s="3" t="s">
        <v>18</v>
      </c>
      <c r="E1058" s="4">
        <v>4</v>
      </c>
      <c r="F1058" s="4">
        <v>486</v>
      </c>
      <c r="G1058" s="3" t="s">
        <v>19</v>
      </c>
      <c r="H1058">
        <v>1944</v>
      </c>
      <c r="I1058">
        <v>1230.5314880000001</v>
      </c>
      <c r="J1058">
        <v>713.46851219999996</v>
      </c>
      <c r="K1058" s="5">
        <f>IF(Table1[[#This Row],[Revenue]]=0, 0, Table1[[#This Row],[Profit]]/Table1[[#This Row],[Revenue]])</f>
        <v>0.36701055154320988</v>
      </c>
    </row>
    <row r="1059" spans="1:11" x14ac:dyDescent="0.35">
      <c r="A1059" s="1">
        <v>45306</v>
      </c>
      <c r="B1059" s="3" t="s">
        <v>27</v>
      </c>
      <c r="C1059" s="3" t="s">
        <v>26</v>
      </c>
      <c r="D1059" s="3" t="s">
        <v>18</v>
      </c>
      <c r="E1059" s="4">
        <v>19</v>
      </c>
      <c r="F1059" s="4">
        <v>1261</v>
      </c>
      <c r="G1059" s="3" t="s">
        <v>19</v>
      </c>
      <c r="H1059">
        <v>23959</v>
      </c>
      <c r="I1059">
        <v>16292.478090000001</v>
      </c>
      <c r="J1059">
        <v>7666.5219120000002</v>
      </c>
      <c r="K1059" s="5">
        <f>IF(Table1[[#This Row],[Revenue]]=0, 0, Table1[[#This Row],[Profit]]/Table1[[#This Row],[Revenue]])</f>
        <v>0.31998505413414585</v>
      </c>
    </row>
    <row r="1060" spans="1:11" x14ac:dyDescent="0.35">
      <c r="A1060" s="1">
        <v>45448</v>
      </c>
      <c r="B1060" s="3" t="s">
        <v>20</v>
      </c>
      <c r="C1060" s="3" t="s">
        <v>26</v>
      </c>
      <c r="D1060" s="3" t="s">
        <v>32</v>
      </c>
      <c r="E1060" s="4">
        <v>17</v>
      </c>
      <c r="F1060" s="4">
        <v>1310</v>
      </c>
      <c r="G1060" s="3" t="s">
        <v>19</v>
      </c>
      <c r="H1060">
        <v>22270</v>
      </c>
      <c r="I1060">
        <v>15097.12989</v>
      </c>
      <c r="J1060">
        <v>7172.8701140000003</v>
      </c>
      <c r="K1060" s="5">
        <f>IF(Table1[[#This Row],[Revenue]]=0, 0, Table1[[#This Row],[Profit]]/Table1[[#This Row],[Revenue]])</f>
        <v>0.32208666879209702</v>
      </c>
    </row>
    <row r="1061" spans="1:11" x14ac:dyDescent="0.35">
      <c r="A1061" s="1">
        <v>45427</v>
      </c>
      <c r="B1061" s="3" t="s">
        <v>20</v>
      </c>
      <c r="C1061" s="3" t="s">
        <v>17</v>
      </c>
      <c r="D1061" s="3" t="s">
        <v>21</v>
      </c>
      <c r="E1061" s="4">
        <v>5</v>
      </c>
      <c r="F1061" s="4">
        <v>1009</v>
      </c>
      <c r="G1061" s="3" t="s">
        <v>19</v>
      </c>
      <c r="H1061">
        <v>5045</v>
      </c>
      <c r="I1061">
        <v>3763.7405469999999</v>
      </c>
      <c r="J1061">
        <v>1281.2594529999999</v>
      </c>
      <c r="K1061" s="5">
        <f>IF(Table1[[#This Row],[Revenue]]=0, 0, Table1[[#This Row],[Profit]]/Table1[[#This Row],[Revenue]])</f>
        <v>0.25396619484638255</v>
      </c>
    </row>
    <row r="1062" spans="1:11" x14ac:dyDescent="0.35">
      <c r="A1062" s="1">
        <v>45552</v>
      </c>
      <c r="B1062" s="3" t="s">
        <v>20</v>
      </c>
      <c r="C1062" s="3" t="s">
        <v>31</v>
      </c>
      <c r="D1062" s="3" t="s">
        <v>21</v>
      </c>
      <c r="E1062" s="4">
        <v>7</v>
      </c>
      <c r="F1062" s="4">
        <v>815</v>
      </c>
      <c r="G1062" s="3" t="s">
        <v>19</v>
      </c>
      <c r="H1062">
        <v>5705</v>
      </c>
      <c r="I1062">
        <v>4211.9669050000002</v>
      </c>
      <c r="J1062">
        <v>1493.033095</v>
      </c>
      <c r="K1062" s="5">
        <f>IF(Table1[[#This Row],[Revenue]]=0, 0, Table1[[#This Row],[Profit]]/Table1[[#This Row],[Revenue]])</f>
        <v>0.26170606397896584</v>
      </c>
    </row>
    <row r="1063" spans="1:11" x14ac:dyDescent="0.35">
      <c r="A1063" s="1">
        <v>45448</v>
      </c>
      <c r="B1063" s="3" t="s">
        <v>23</v>
      </c>
      <c r="C1063" s="3" t="s">
        <v>26</v>
      </c>
      <c r="D1063" s="3" t="s">
        <v>12</v>
      </c>
      <c r="E1063" s="4">
        <v>18</v>
      </c>
      <c r="F1063" s="4">
        <v>530</v>
      </c>
      <c r="G1063" s="3" t="s">
        <v>19</v>
      </c>
      <c r="H1063">
        <v>9540</v>
      </c>
      <c r="I1063">
        <v>6964.4143180000001</v>
      </c>
      <c r="J1063">
        <v>2575.5856819999999</v>
      </c>
      <c r="K1063" s="5">
        <f>IF(Table1[[#This Row],[Revenue]]=0, 0, Table1[[#This Row],[Profit]]/Table1[[#This Row],[Revenue]])</f>
        <v>0.26997753480083858</v>
      </c>
    </row>
    <row r="1064" spans="1:11" x14ac:dyDescent="0.35">
      <c r="A1064" s="1">
        <v>45338</v>
      </c>
      <c r="B1064" s="3" t="s">
        <v>23</v>
      </c>
      <c r="C1064" s="3" t="s">
        <v>11</v>
      </c>
      <c r="D1064" s="3" t="s">
        <v>29</v>
      </c>
      <c r="E1064" s="4">
        <v>7</v>
      </c>
      <c r="F1064" s="4">
        <v>653</v>
      </c>
      <c r="G1064" s="3" t="s">
        <v>13</v>
      </c>
      <c r="H1064">
        <v>4571</v>
      </c>
      <c r="I1064">
        <v>3422.7339000000002</v>
      </c>
      <c r="J1064">
        <v>1148.2661000000001</v>
      </c>
      <c r="K1064" s="5">
        <f>IF(Table1[[#This Row],[Revenue]]=0, 0, Table1[[#This Row],[Profit]]/Table1[[#This Row],[Revenue]])</f>
        <v>0.25120676000875081</v>
      </c>
    </row>
    <row r="1065" spans="1:11" x14ac:dyDescent="0.35">
      <c r="A1065" s="1">
        <v>45615</v>
      </c>
      <c r="B1065" s="3" t="s">
        <v>23</v>
      </c>
      <c r="C1065" s="3" t="s">
        <v>26</v>
      </c>
      <c r="D1065" s="3" t="s">
        <v>21</v>
      </c>
      <c r="E1065" s="4">
        <v>17</v>
      </c>
      <c r="F1065" s="4">
        <v>1985</v>
      </c>
      <c r="G1065" s="3" t="s">
        <v>19</v>
      </c>
      <c r="H1065">
        <v>33745</v>
      </c>
      <c r="I1065">
        <v>30239.12817</v>
      </c>
      <c r="J1065">
        <v>3505.87183</v>
      </c>
      <c r="K1065" s="5">
        <f>IF(Table1[[#This Row],[Revenue]]=0, 0, Table1[[#This Row],[Profit]]/Table1[[#This Row],[Revenue]])</f>
        <v>0.10389307541858053</v>
      </c>
    </row>
    <row r="1066" spans="1:11" x14ac:dyDescent="0.35">
      <c r="A1066" s="1">
        <v>45623</v>
      </c>
      <c r="B1066" s="3" t="s">
        <v>27</v>
      </c>
      <c r="C1066" s="3" t="s">
        <v>11</v>
      </c>
      <c r="D1066" s="3" t="s">
        <v>18</v>
      </c>
      <c r="E1066" s="4">
        <v>7</v>
      </c>
      <c r="F1066" s="4">
        <v>1539</v>
      </c>
      <c r="G1066" s="3" t="s">
        <v>13</v>
      </c>
      <c r="H1066">
        <v>10773</v>
      </c>
      <c r="I1066">
        <v>7428.0490989999998</v>
      </c>
      <c r="J1066">
        <v>3344.9509010000002</v>
      </c>
      <c r="K1066" s="5">
        <f>IF(Table1[[#This Row],[Revenue]]=0, 0, Table1[[#This Row],[Profit]]/Table1[[#This Row],[Revenue]])</f>
        <v>0.31049391079550731</v>
      </c>
    </row>
    <row r="1067" spans="1:11" x14ac:dyDescent="0.35">
      <c r="A1067" s="1">
        <v>45464</v>
      </c>
      <c r="B1067" s="3" t="s">
        <v>23</v>
      </c>
      <c r="C1067" s="3" t="s">
        <v>24</v>
      </c>
      <c r="D1067" s="3" t="s">
        <v>21</v>
      </c>
      <c r="E1067" s="4">
        <v>4</v>
      </c>
      <c r="F1067" s="4">
        <v>899</v>
      </c>
      <c r="G1067" s="3" t="s">
        <v>19</v>
      </c>
      <c r="H1067">
        <v>3596</v>
      </c>
      <c r="I1067">
        <v>2821.3523700000001</v>
      </c>
      <c r="J1067">
        <v>774.6476298</v>
      </c>
      <c r="K1067" s="5">
        <f>IF(Table1[[#This Row],[Revenue]]=0, 0, Table1[[#This Row],[Profit]]/Table1[[#This Row],[Revenue]])</f>
        <v>0.21541925189098998</v>
      </c>
    </row>
    <row r="1068" spans="1:11" x14ac:dyDescent="0.35">
      <c r="A1068" s="1">
        <v>45421</v>
      </c>
      <c r="B1068" s="3" t="s">
        <v>27</v>
      </c>
      <c r="C1068" s="3" t="s">
        <v>24</v>
      </c>
      <c r="D1068" s="3" t="s">
        <v>15</v>
      </c>
      <c r="E1068" s="4">
        <v>8</v>
      </c>
      <c r="F1068" s="4">
        <v>525</v>
      </c>
      <c r="G1068" s="3" t="s">
        <v>19</v>
      </c>
      <c r="H1068">
        <v>4200</v>
      </c>
      <c r="I1068">
        <v>2821.7797569999998</v>
      </c>
      <c r="J1068">
        <v>1378.220243</v>
      </c>
      <c r="K1068" s="5">
        <f>IF(Table1[[#This Row],[Revenue]]=0, 0, Table1[[#This Row],[Profit]]/Table1[[#This Row],[Revenue]])</f>
        <v>0.32814767690476188</v>
      </c>
    </row>
    <row r="1069" spans="1:11" x14ac:dyDescent="0.35">
      <c r="A1069" s="1">
        <v>45386</v>
      </c>
      <c r="B1069" s="3" t="s">
        <v>20</v>
      </c>
      <c r="C1069" s="3" t="s">
        <v>22</v>
      </c>
      <c r="D1069" s="3" t="s">
        <v>21</v>
      </c>
      <c r="E1069" s="4">
        <v>13</v>
      </c>
      <c r="F1069" s="4">
        <v>1539</v>
      </c>
      <c r="G1069" s="3" t="s">
        <v>13</v>
      </c>
      <c r="H1069">
        <v>20007</v>
      </c>
      <c r="I1069">
        <v>14804.81747</v>
      </c>
      <c r="J1069">
        <v>5202.1825310000004</v>
      </c>
      <c r="K1069" s="5">
        <f>IF(Table1[[#This Row],[Revenue]]=0, 0, Table1[[#This Row],[Profit]]/Table1[[#This Row],[Revenue]])</f>
        <v>0.26001812020792725</v>
      </c>
    </row>
    <row r="1070" spans="1:11" x14ac:dyDescent="0.35">
      <c r="A1070" s="1">
        <v>45406</v>
      </c>
      <c r="B1070" s="3" t="s">
        <v>23</v>
      </c>
      <c r="C1070" s="3" t="s">
        <v>22</v>
      </c>
      <c r="D1070" s="3" t="s">
        <v>44</v>
      </c>
      <c r="E1070" s="4">
        <v>4</v>
      </c>
      <c r="F1070" s="4">
        <v>125</v>
      </c>
      <c r="G1070" s="3" t="s">
        <v>13</v>
      </c>
      <c r="H1070">
        <v>500</v>
      </c>
      <c r="I1070">
        <v>330.007385</v>
      </c>
      <c r="J1070">
        <v>169.992615</v>
      </c>
      <c r="K1070" s="5">
        <f>IF(Table1[[#This Row],[Revenue]]=0, 0, Table1[[#This Row],[Profit]]/Table1[[#This Row],[Revenue]])</f>
        <v>0.33998523000000003</v>
      </c>
    </row>
    <row r="1071" spans="1:11" x14ac:dyDescent="0.35">
      <c r="A1071" s="1">
        <v>45583</v>
      </c>
      <c r="B1071" s="3" t="s">
        <v>10</v>
      </c>
      <c r="C1071" s="3" t="s">
        <v>31</v>
      </c>
      <c r="D1071" s="3" t="s">
        <v>44</v>
      </c>
      <c r="E1071" s="4">
        <v>5</v>
      </c>
      <c r="F1071" s="4">
        <v>484</v>
      </c>
      <c r="G1071" s="3" t="s">
        <v>19</v>
      </c>
      <c r="H1071">
        <v>2420</v>
      </c>
      <c r="I1071">
        <v>1644.398557</v>
      </c>
      <c r="J1071">
        <v>775.60144300000002</v>
      </c>
      <c r="K1071" s="5">
        <f>IF(Table1[[#This Row],[Revenue]]=0, 0, Table1[[#This Row],[Profit]]/Table1[[#This Row],[Revenue]])</f>
        <v>0.32049646404958676</v>
      </c>
    </row>
    <row r="1072" spans="1:11" x14ac:dyDescent="0.35">
      <c r="A1072" s="1">
        <v>45573</v>
      </c>
      <c r="B1072" s="3" t="s">
        <v>27</v>
      </c>
      <c r="C1072" s="3" t="s">
        <v>26</v>
      </c>
      <c r="D1072" s="3" t="s">
        <v>29</v>
      </c>
      <c r="E1072" s="4">
        <v>12</v>
      </c>
      <c r="F1072" s="4">
        <v>155</v>
      </c>
      <c r="G1072" s="3" t="s">
        <v>19</v>
      </c>
      <c r="H1072">
        <v>1860</v>
      </c>
      <c r="I1072">
        <v>1136.5282159999999</v>
      </c>
      <c r="J1072">
        <v>723.47178450000001</v>
      </c>
      <c r="K1072" s="5">
        <f>IF(Table1[[#This Row],[Revenue]]=0, 0, Table1[[#This Row],[Profit]]/Table1[[#This Row],[Revenue]])</f>
        <v>0.38896332500000003</v>
      </c>
    </row>
    <row r="1073" spans="1:11" x14ac:dyDescent="0.35">
      <c r="A1073" s="1">
        <v>45590</v>
      </c>
      <c r="B1073" s="3" t="s">
        <v>20</v>
      </c>
      <c r="C1073" s="3" t="s">
        <v>28</v>
      </c>
      <c r="D1073" s="3" t="s">
        <v>30</v>
      </c>
      <c r="E1073" s="4">
        <v>4</v>
      </c>
      <c r="F1073" s="4">
        <v>1376</v>
      </c>
      <c r="G1073" s="3" t="s">
        <v>16</v>
      </c>
      <c r="H1073">
        <v>5504</v>
      </c>
      <c r="I1073">
        <v>4648.5756259999998</v>
      </c>
      <c r="J1073">
        <v>855.42437380000001</v>
      </c>
      <c r="K1073" s="5">
        <f>IF(Table1[[#This Row],[Revenue]]=0, 0, Table1[[#This Row],[Profit]]/Table1[[#This Row],[Revenue]])</f>
        <v>0.15541867256540698</v>
      </c>
    </row>
    <row r="1074" spans="1:11" x14ac:dyDescent="0.35">
      <c r="A1074" s="1">
        <v>45439</v>
      </c>
      <c r="B1074" s="3" t="s">
        <v>20</v>
      </c>
      <c r="C1074" s="3" t="s">
        <v>14</v>
      </c>
      <c r="D1074" s="3" t="s">
        <v>25</v>
      </c>
      <c r="E1074" s="4">
        <v>19</v>
      </c>
      <c r="F1074" s="4">
        <v>1253</v>
      </c>
      <c r="G1074" s="3" t="s">
        <v>16</v>
      </c>
      <c r="H1074">
        <v>23807</v>
      </c>
      <c r="I1074">
        <v>17692.250199999999</v>
      </c>
      <c r="J1074">
        <v>6114.7497979999998</v>
      </c>
      <c r="K1074" s="5">
        <f>IF(Table1[[#This Row],[Revenue]]=0, 0, Table1[[#This Row],[Profit]]/Table1[[#This Row],[Revenue]])</f>
        <v>0.25684671726803038</v>
      </c>
    </row>
    <row r="1075" spans="1:11" x14ac:dyDescent="0.35">
      <c r="A1075" s="1">
        <v>45302</v>
      </c>
      <c r="B1075" s="3" t="s">
        <v>10</v>
      </c>
      <c r="C1075" s="3" t="s">
        <v>28</v>
      </c>
      <c r="D1075" s="3" t="s">
        <v>12</v>
      </c>
      <c r="E1075" s="4">
        <v>14</v>
      </c>
      <c r="F1075" s="4">
        <v>948</v>
      </c>
      <c r="G1075" s="3" t="s">
        <v>16</v>
      </c>
      <c r="H1075">
        <v>13272</v>
      </c>
      <c r="I1075">
        <v>9685.16237</v>
      </c>
      <c r="J1075">
        <v>3586.83763</v>
      </c>
      <c r="K1075" s="5">
        <f>IF(Table1[[#This Row],[Revenue]]=0, 0, Table1[[#This Row],[Profit]]/Table1[[#This Row],[Revenue]])</f>
        <v>0.27025599984930682</v>
      </c>
    </row>
    <row r="1076" spans="1:11" x14ac:dyDescent="0.35">
      <c r="A1076" s="1">
        <v>45545</v>
      </c>
      <c r="B1076" s="3" t="s">
        <v>27</v>
      </c>
      <c r="C1076" s="3" t="s">
        <v>11</v>
      </c>
      <c r="D1076" s="3" t="s">
        <v>18</v>
      </c>
      <c r="E1076" s="4">
        <v>5</v>
      </c>
      <c r="F1076" s="4">
        <v>769</v>
      </c>
      <c r="G1076" s="3" t="s">
        <v>13</v>
      </c>
      <c r="H1076">
        <v>3845</v>
      </c>
      <c r="I1076">
        <v>3144.0554579999998</v>
      </c>
      <c r="J1076">
        <v>700.94454159999998</v>
      </c>
      <c r="K1076" s="5">
        <f>IF(Table1[[#This Row],[Revenue]]=0, 0, Table1[[#This Row],[Profit]]/Table1[[#This Row],[Revenue]])</f>
        <v>0.18230027089726916</v>
      </c>
    </row>
    <row r="1077" spans="1:11" x14ac:dyDescent="0.35">
      <c r="A1077" s="1">
        <v>45621</v>
      </c>
      <c r="B1077" s="3" t="s">
        <v>27</v>
      </c>
      <c r="C1077" s="3" t="s">
        <v>28</v>
      </c>
      <c r="D1077" s="3" t="s">
        <v>30</v>
      </c>
      <c r="E1077" s="4">
        <v>18</v>
      </c>
      <c r="F1077" s="4">
        <v>475</v>
      </c>
      <c r="G1077" s="3" t="s">
        <v>16</v>
      </c>
      <c r="H1077">
        <v>8550</v>
      </c>
      <c r="I1077">
        <v>6660.7319690000004</v>
      </c>
      <c r="J1077">
        <v>1889.2680310000001</v>
      </c>
      <c r="K1077" s="5">
        <f>IF(Table1[[#This Row],[Revenue]]=0, 0, Table1[[#This Row],[Profit]]/Table1[[#This Row],[Revenue]])</f>
        <v>0.22096702116959066</v>
      </c>
    </row>
    <row r="1078" spans="1:11" x14ac:dyDescent="0.35">
      <c r="A1078" s="1">
        <v>45651</v>
      </c>
      <c r="B1078" s="3" t="s">
        <v>23</v>
      </c>
      <c r="C1078" s="3" t="s">
        <v>14</v>
      </c>
      <c r="D1078" s="3" t="s">
        <v>30</v>
      </c>
      <c r="E1078" s="4">
        <v>10</v>
      </c>
      <c r="F1078" s="4">
        <v>842</v>
      </c>
      <c r="G1078" s="3" t="s">
        <v>16</v>
      </c>
      <c r="H1078">
        <v>8420</v>
      </c>
      <c r="I1078">
        <v>5798.1076080000003</v>
      </c>
      <c r="J1078">
        <v>2621.8923920000002</v>
      </c>
      <c r="K1078" s="5">
        <f>IF(Table1[[#This Row],[Revenue]]=0, 0, Table1[[#This Row],[Profit]]/Table1[[#This Row],[Revenue]])</f>
        <v>0.31138864513064135</v>
      </c>
    </row>
    <row r="1079" spans="1:11" x14ac:dyDescent="0.35">
      <c r="A1079" s="1">
        <v>45329</v>
      </c>
      <c r="B1079" s="3" t="s">
        <v>10</v>
      </c>
      <c r="C1079" s="3" t="s">
        <v>26</v>
      </c>
      <c r="D1079" s="3" t="s">
        <v>15</v>
      </c>
      <c r="E1079" s="4">
        <v>19</v>
      </c>
      <c r="F1079" s="4">
        <v>1066</v>
      </c>
      <c r="G1079" s="3" t="s">
        <v>19</v>
      </c>
      <c r="H1079">
        <v>20254</v>
      </c>
      <c r="I1079">
        <v>12466.557769999999</v>
      </c>
      <c r="J1079">
        <v>7787.4422320000003</v>
      </c>
      <c r="K1079" s="5">
        <f>IF(Table1[[#This Row],[Revenue]]=0, 0, Table1[[#This Row],[Profit]]/Table1[[#This Row],[Revenue]])</f>
        <v>0.38448910002962378</v>
      </c>
    </row>
    <row r="1080" spans="1:11" x14ac:dyDescent="0.35">
      <c r="A1080" s="1">
        <v>45425</v>
      </c>
      <c r="B1080" s="3" t="s">
        <v>23</v>
      </c>
      <c r="C1080" s="3" t="s">
        <v>26</v>
      </c>
      <c r="D1080" s="3" t="s">
        <v>30</v>
      </c>
      <c r="E1080" s="4">
        <v>12</v>
      </c>
      <c r="F1080" s="4">
        <v>407</v>
      </c>
      <c r="G1080" s="3" t="s">
        <v>19</v>
      </c>
      <c r="H1080">
        <v>4884</v>
      </c>
      <c r="I1080">
        <v>4055.080367</v>
      </c>
      <c r="J1080">
        <v>828.91963269999997</v>
      </c>
      <c r="K1080" s="5">
        <f>IF(Table1[[#This Row],[Revenue]]=0, 0, Table1[[#This Row],[Profit]]/Table1[[#This Row],[Revenue]])</f>
        <v>0.16972146451678952</v>
      </c>
    </row>
    <row r="1081" spans="1:11" x14ac:dyDescent="0.35">
      <c r="A1081" s="1">
        <v>45491</v>
      </c>
      <c r="B1081" s="3" t="s">
        <v>10</v>
      </c>
      <c r="C1081" s="3" t="s">
        <v>31</v>
      </c>
      <c r="D1081" s="3" t="s">
        <v>25</v>
      </c>
      <c r="E1081" s="4">
        <v>18</v>
      </c>
      <c r="F1081" s="4">
        <v>190</v>
      </c>
      <c r="G1081" s="3" t="s">
        <v>19</v>
      </c>
      <c r="H1081">
        <v>3420</v>
      </c>
      <c r="I1081">
        <v>2413.6928320000002</v>
      </c>
      <c r="J1081">
        <v>1006.307168</v>
      </c>
      <c r="K1081" s="5">
        <f>IF(Table1[[#This Row],[Revenue]]=0, 0, Table1[[#This Row],[Profit]]/Table1[[#This Row],[Revenue]])</f>
        <v>0.2942418619883041</v>
      </c>
    </row>
    <row r="1082" spans="1:11" x14ac:dyDescent="0.35">
      <c r="A1082" s="1">
        <v>45314</v>
      </c>
      <c r="B1082" s="3" t="s">
        <v>27</v>
      </c>
      <c r="C1082" s="3" t="s">
        <v>17</v>
      </c>
      <c r="D1082" s="3" t="s">
        <v>32</v>
      </c>
      <c r="E1082" s="4">
        <v>17</v>
      </c>
      <c r="F1082" s="4">
        <v>1516</v>
      </c>
      <c r="G1082" s="3" t="s">
        <v>19</v>
      </c>
      <c r="H1082">
        <v>25772</v>
      </c>
      <c r="I1082">
        <v>22342.195810000001</v>
      </c>
      <c r="J1082">
        <v>3429.8041920000001</v>
      </c>
      <c r="K1082" s="5">
        <f>IF(Table1[[#This Row],[Revenue]]=0, 0, Table1[[#This Row],[Profit]]/Table1[[#This Row],[Revenue]])</f>
        <v>0.13308257768120441</v>
      </c>
    </row>
    <row r="1083" spans="1:11" x14ac:dyDescent="0.35">
      <c r="A1083" s="1">
        <v>45594</v>
      </c>
      <c r="B1083" s="3" t="s">
        <v>27</v>
      </c>
      <c r="C1083" s="3" t="s">
        <v>28</v>
      </c>
      <c r="D1083" s="3" t="s">
        <v>18</v>
      </c>
      <c r="E1083" s="4">
        <v>11</v>
      </c>
      <c r="F1083" s="4">
        <v>1657</v>
      </c>
      <c r="G1083" s="3" t="s">
        <v>16</v>
      </c>
      <c r="H1083">
        <v>18227</v>
      </c>
      <c r="I1083">
        <v>13096.40994</v>
      </c>
      <c r="J1083">
        <v>5130.590056</v>
      </c>
      <c r="K1083" s="5">
        <f>IF(Table1[[#This Row],[Revenue]]=0, 0, Table1[[#This Row],[Profit]]/Table1[[#This Row],[Revenue]])</f>
        <v>0.28148296790475669</v>
      </c>
    </row>
    <row r="1084" spans="1:11" x14ac:dyDescent="0.35">
      <c r="A1084" s="1">
        <v>45637</v>
      </c>
      <c r="B1084" s="3" t="s">
        <v>27</v>
      </c>
      <c r="C1084" s="3" t="s">
        <v>22</v>
      </c>
      <c r="D1084" s="3" t="s">
        <v>18</v>
      </c>
      <c r="E1084" s="4">
        <v>3</v>
      </c>
      <c r="F1084" s="4">
        <v>901</v>
      </c>
      <c r="G1084" s="3" t="s">
        <v>13</v>
      </c>
      <c r="H1084">
        <v>2703</v>
      </c>
      <c r="I1084">
        <v>2203.7493639999998</v>
      </c>
      <c r="J1084">
        <v>499.2506363</v>
      </c>
      <c r="K1084" s="5">
        <f>IF(Table1[[#This Row],[Revenue]]=0, 0, Table1[[#This Row],[Profit]]/Table1[[#This Row],[Revenue]])</f>
        <v>0.18470241816500185</v>
      </c>
    </row>
    <row r="1085" spans="1:11" x14ac:dyDescent="0.35">
      <c r="A1085" s="1">
        <v>45593</v>
      </c>
      <c r="B1085" s="3" t="s">
        <v>10</v>
      </c>
      <c r="C1085" s="3" t="s">
        <v>14</v>
      </c>
      <c r="D1085" s="3" t="s">
        <v>21</v>
      </c>
      <c r="E1085" s="4">
        <v>17</v>
      </c>
      <c r="F1085" s="4">
        <v>209</v>
      </c>
      <c r="G1085" s="3" t="s">
        <v>16</v>
      </c>
      <c r="H1085">
        <v>3553</v>
      </c>
      <c r="I1085">
        <v>3133.282017</v>
      </c>
      <c r="J1085">
        <v>419.71798280000002</v>
      </c>
      <c r="K1085" s="5">
        <f>IF(Table1[[#This Row],[Revenue]]=0, 0, Table1[[#This Row],[Profit]]/Table1[[#This Row],[Revenue]])</f>
        <v>0.11813058902336054</v>
      </c>
    </row>
    <row r="1086" spans="1:11" x14ac:dyDescent="0.35">
      <c r="A1086" s="1">
        <v>45654</v>
      </c>
      <c r="B1086" s="3" t="s">
        <v>27</v>
      </c>
      <c r="C1086" s="3" t="s">
        <v>14</v>
      </c>
      <c r="D1086" s="3" t="s">
        <v>21</v>
      </c>
      <c r="E1086" s="4">
        <v>1</v>
      </c>
      <c r="F1086" s="4">
        <v>1684</v>
      </c>
      <c r="G1086" s="3" t="s">
        <v>16</v>
      </c>
      <c r="H1086">
        <v>1684</v>
      </c>
      <c r="I1086">
        <v>1339.362218</v>
      </c>
      <c r="J1086">
        <v>344.63778189999999</v>
      </c>
      <c r="K1086" s="5">
        <f>IF(Table1[[#This Row],[Revenue]]=0, 0, Table1[[#This Row],[Profit]]/Table1[[#This Row],[Revenue]])</f>
        <v>0.20465426478622328</v>
      </c>
    </row>
    <row r="1087" spans="1:11" x14ac:dyDescent="0.35">
      <c r="A1087" s="1">
        <v>45509</v>
      </c>
      <c r="B1087" s="3" t="s">
        <v>10</v>
      </c>
      <c r="C1087" s="3" t="s">
        <v>14</v>
      </c>
      <c r="D1087" s="3" t="s">
        <v>44</v>
      </c>
      <c r="E1087" s="4">
        <v>15</v>
      </c>
      <c r="F1087" s="4">
        <v>1764</v>
      </c>
      <c r="G1087" s="3" t="s">
        <v>16</v>
      </c>
      <c r="H1087">
        <v>26460</v>
      </c>
      <c r="I1087">
        <v>19158.274990000002</v>
      </c>
      <c r="J1087">
        <v>7301.7250050000002</v>
      </c>
      <c r="K1087" s="5">
        <f>IF(Table1[[#This Row],[Revenue]]=0, 0, Table1[[#This Row],[Profit]]/Table1[[#This Row],[Revenue]])</f>
        <v>0.27595332596371885</v>
      </c>
    </row>
    <row r="1088" spans="1:11" x14ac:dyDescent="0.35">
      <c r="A1088" s="1">
        <v>45432</v>
      </c>
      <c r="B1088" s="3" t="s">
        <v>23</v>
      </c>
      <c r="C1088" s="3" t="s">
        <v>22</v>
      </c>
      <c r="D1088" s="3" t="s">
        <v>25</v>
      </c>
      <c r="E1088" s="4">
        <v>9</v>
      </c>
      <c r="F1088" s="4">
        <v>684</v>
      </c>
      <c r="G1088" s="3" t="s">
        <v>13</v>
      </c>
      <c r="H1088">
        <v>6156</v>
      </c>
      <c r="I1088">
        <v>4741.4729699999998</v>
      </c>
      <c r="J1088">
        <v>1414.52703</v>
      </c>
      <c r="K1088" s="5">
        <f>IF(Table1[[#This Row],[Revenue]]=0, 0, Table1[[#This Row],[Profit]]/Table1[[#This Row],[Revenue]])</f>
        <v>0.2297802192982456</v>
      </c>
    </row>
    <row r="1089" spans="1:11" x14ac:dyDescent="0.35">
      <c r="A1089" s="1">
        <v>45395</v>
      </c>
      <c r="B1089" s="3" t="s">
        <v>10</v>
      </c>
      <c r="C1089" s="3" t="s">
        <v>17</v>
      </c>
      <c r="D1089" s="3" t="s">
        <v>25</v>
      </c>
      <c r="E1089" s="4">
        <v>15</v>
      </c>
      <c r="F1089" s="4">
        <v>439</v>
      </c>
      <c r="G1089" s="3" t="s">
        <v>19</v>
      </c>
      <c r="H1089">
        <v>6585</v>
      </c>
      <c r="I1089">
        <v>5024.5759699999999</v>
      </c>
      <c r="J1089">
        <v>1560.4240299999999</v>
      </c>
      <c r="K1089" s="5">
        <f>IF(Table1[[#This Row],[Revenue]]=0, 0, Table1[[#This Row],[Profit]]/Table1[[#This Row],[Revenue]])</f>
        <v>0.23696644343204251</v>
      </c>
    </row>
    <row r="1090" spans="1:11" x14ac:dyDescent="0.35">
      <c r="A1090" s="1">
        <v>45501</v>
      </c>
      <c r="B1090" s="3" t="s">
        <v>23</v>
      </c>
      <c r="C1090" s="3" t="s">
        <v>26</v>
      </c>
      <c r="D1090" s="3" t="s">
        <v>12</v>
      </c>
      <c r="E1090" s="4">
        <v>3</v>
      </c>
      <c r="F1090" s="4">
        <v>1688</v>
      </c>
      <c r="G1090" s="3" t="s">
        <v>19</v>
      </c>
      <c r="H1090">
        <v>5064</v>
      </c>
      <c r="I1090">
        <v>3926.8586</v>
      </c>
      <c r="J1090">
        <v>1137.1414</v>
      </c>
      <c r="K1090" s="5">
        <f>IF(Table1[[#This Row],[Revenue]]=0, 0, Table1[[#This Row],[Profit]]/Table1[[#This Row],[Revenue]])</f>
        <v>0.22455398894154818</v>
      </c>
    </row>
    <row r="1091" spans="1:11" x14ac:dyDescent="0.35">
      <c r="A1091" s="1">
        <v>45402</v>
      </c>
      <c r="B1091" s="3" t="s">
        <v>10</v>
      </c>
      <c r="C1091" s="3" t="s">
        <v>31</v>
      </c>
      <c r="D1091" s="3" t="s">
        <v>25</v>
      </c>
      <c r="E1091" s="4">
        <v>19</v>
      </c>
      <c r="F1091" s="4">
        <v>1078</v>
      </c>
      <c r="G1091" s="3" t="s">
        <v>19</v>
      </c>
      <c r="H1091">
        <v>20482</v>
      </c>
      <c r="I1091">
        <v>13191.35008</v>
      </c>
      <c r="J1091">
        <v>7290.6499160000003</v>
      </c>
      <c r="K1091" s="5">
        <f>IF(Table1[[#This Row],[Revenue]]=0, 0, Table1[[#This Row],[Profit]]/Table1[[#This Row],[Revenue]])</f>
        <v>0.35595400429645546</v>
      </c>
    </row>
    <row r="1092" spans="1:11" x14ac:dyDescent="0.35">
      <c r="A1092" s="1">
        <v>45395</v>
      </c>
      <c r="B1092" s="3" t="s">
        <v>23</v>
      </c>
      <c r="C1092" s="3" t="s">
        <v>31</v>
      </c>
      <c r="D1092" s="3" t="s">
        <v>25</v>
      </c>
      <c r="E1092" s="4">
        <v>13</v>
      </c>
      <c r="F1092" s="4">
        <v>455</v>
      </c>
      <c r="G1092" s="3" t="s">
        <v>19</v>
      </c>
      <c r="H1092">
        <v>5915</v>
      </c>
      <c r="I1092">
        <v>4788.5057859999997</v>
      </c>
      <c r="J1092">
        <v>1126.4942140000001</v>
      </c>
      <c r="K1092" s="5">
        <f>IF(Table1[[#This Row],[Revenue]]=0, 0, Table1[[#This Row],[Profit]]/Table1[[#This Row],[Revenue]])</f>
        <v>0.19044703533389687</v>
      </c>
    </row>
    <row r="1093" spans="1:11" x14ac:dyDescent="0.35">
      <c r="A1093" s="1">
        <v>45607</v>
      </c>
      <c r="B1093" s="3" t="s">
        <v>27</v>
      </c>
      <c r="C1093" s="3" t="s">
        <v>22</v>
      </c>
      <c r="D1093" s="3" t="s">
        <v>25</v>
      </c>
      <c r="E1093" s="4">
        <v>12</v>
      </c>
      <c r="F1093" s="4">
        <v>267</v>
      </c>
      <c r="G1093" s="3" t="s">
        <v>13</v>
      </c>
      <c r="H1093">
        <v>3204</v>
      </c>
      <c r="I1093">
        <v>2061.8155929999998</v>
      </c>
      <c r="J1093">
        <v>1142.184407</v>
      </c>
      <c r="K1093" s="5">
        <f>IF(Table1[[#This Row],[Revenue]]=0, 0, Table1[[#This Row],[Profit]]/Table1[[#This Row],[Revenue]])</f>
        <v>0.35648701841448188</v>
      </c>
    </row>
    <row r="1094" spans="1:11" x14ac:dyDescent="0.35">
      <c r="A1094" s="1">
        <v>45462</v>
      </c>
      <c r="B1094" s="3" t="s">
        <v>23</v>
      </c>
      <c r="C1094" s="3" t="s">
        <v>31</v>
      </c>
      <c r="D1094" s="3" t="s">
        <v>25</v>
      </c>
      <c r="E1094" s="4">
        <v>1</v>
      </c>
      <c r="F1094" s="4">
        <v>656</v>
      </c>
      <c r="G1094" s="3" t="s">
        <v>19</v>
      </c>
      <c r="H1094">
        <v>656</v>
      </c>
      <c r="I1094">
        <v>396.47660280000002</v>
      </c>
      <c r="J1094">
        <v>259.52339719999998</v>
      </c>
      <c r="K1094" s="5">
        <f>IF(Table1[[#This Row],[Revenue]]=0, 0, Table1[[#This Row],[Profit]]/Table1[[#This Row],[Revenue]])</f>
        <v>0.39561493475609755</v>
      </c>
    </row>
    <row r="1095" spans="1:11" x14ac:dyDescent="0.35">
      <c r="A1095" s="1">
        <v>45647</v>
      </c>
      <c r="B1095" s="3" t="s">
        <v>27</v>
      </c>
      <c r="C1095" s="3" t="s">
        <v>14</v>
      </c>
      <c r="D1095" s="3" t="s">
        <v>32</v>
      </c>
      <c r="E1095" s="4">
        <v>17</v>
      </c>
      <c r="F1095" s="4">
        <v>1575</v>
      </c>
      <c r="G1095" s="3" t="s">
        <v>16</v>
      </c>
      <c r="H1095">
        <v>26775</v>
      </c>
      <c r="I1095">
        <v>21083.546160000002</v>
      </c>
      <c r="J1095">
        <v>5691.4538409999996</v>
      </c>
      <c r="K1095" s="5">
        <f>IF(Table1[[#This Row],[Revenue]]=0, 0, Table1[[#This Row],[Profit]]/Table1[[#This Row],[Revenue]])</f>
        <v>0.21256596978524742</v>
      </c>
    </row>
    <row r="1096" spans="1:11" x14ac:dyDescent="0.35">
      <c r="A1096" s="1">
        <v>45615</v>
      </c>
      <c r="B1096" s="3" t="s">
        <v>27</v>
      </c>
      <c r="C1096" s="3" t="s">
        <v>24</v>
      </c>
      <c r="D1096" s="3" t="s">
        <v>25</v>
      </c>
      <c r="E1096" s="4">
        <v>13</v>
      </c>
      <c r="F1096" s="4">
        <v>1004</v>
      </c>
      <c r="G1096" s="3" t="s">
        <v>19</v>
      </c>
      <c r="H1096">
        <v>13052</v>
      </c>
      <c r="I1096">
        <v>8288.9867830000003</v>
      </c>
      <c r="J1096">
        <v>4763.0132169999997</v>
      </c>
      <c r="K1096" s="5">
        <f>IF(Table1[[#This Row],[Revenue]]=0, 0, Table1[[#This Row],[Profit]]/Table1[[#This Row],[Revenue]])</f>
        <v>0.36492592836346915</v>
      </c>
    </row>
    <row r="1097" spans="1:11" x14ac:dyDescent="0.35">
      <c r="A1097" s="1">
        <v>45424</v>
      </c>
      <c r="B1097" s="3" t="s">
        <v>23</v>
      </c>
      <c r="C1097" s="3" t="s">
        <v>17</v>
      </c>
      <c r="D1097" s="3" t="s">
        <v>12</v>
      </c>
      <c r="E1097" s="4">
        <v>1</v>
      </c>
      <c r="F1097" s="4">
        <v>204</v>
      </c>
      <c r="G1097" s="3" t="s">
        <v>19</v>
      </c>
      <c r="H1097">
        <v>204</v>
      </c>
      <c r="I1097">
        <v>169.54919219999999</v>
      </c>
      <c r="J1097">
        <v>34.450807830000002</v>
      </c>
      <c r="K1097" s="5">
        <f>IF(Table1[[#This Row],[Revenue]]=0, 0, Table1[[#This Row],[Profit]]/Table1[[#This Row],[Revenue]])</f>
        <v>0.16887650897058826</v>
      </c>
    </row>
    <row r="1098" spans="1:11" x14ac:dyDescent="0.35">
      <c r="A1098" s="1">
        <v>45584</v>
      </c>
      <c r="B1098" s="3" t="s">
        <v>10</v>
      </c>
      <c r="C1098" s="3" t="s">
        <v>26</v>
      </c>
      <c r="D1098" s="3" t="s">
        <v>30</v>
      </c>
      <c r="E1098" s="4">
        <v>10</v>
      </c>
      <c r="F1098" s="4">
        <v>249</v>
      </c>
      <c r="G1098" s="3" t="s">
        <v>19</v>
      </c>
      <c r="H1098">
        <v>2490</v>
      </c>
      <c r="I1098">
        <v>2140.8765669999998</v>
      </c>
      <c r="J1098">
        <v>349.12343270000002</v>
      </c>
      <c r="K1098" s="5">
        <f>IF(Table1[[#This Row],[Revenue]]=0, 0, Table1[[#This Row],[Profit]]/Table1[[#This Row],[Revenue]])</f>
        <v>0.14021021393574298</v>
      </c>
    </row>
    <row r="1099" spans="1:11" x14ac:dyDescent="0.35">
      <c r="A1099" s="1">
        <v>45619</v>
      </c>
      <c r="B1099" s="3" t="s">
        <v>43</v>
      </c>
      <c r="C1099" s="3" t="s">
        <v>24</v>
      </c>
      <c r="D1099" s="3" t="s">
        <v>30</v>
      </c>
      <c r="E1099" s="4">
        <v>15</v>
      </c>
      <c r="F1099" s="4">
        <v>245</v>
      </c>
      <c r="G1099" s="3" t="s">
        <v>19</v>
      </c>
      <c r="H1099">
        <v>3675</v>
      </c>
      <c r="I1099">
        <v>3246.5723109999999</v>
      </c>
      <c r="J1099">
        <v>428.42768869999998</v>
      </c>
      <c r="K1099" s="5">
        <f>IF(Table1[[#This Row],[Revenue]]=0, 0, Table1[[#This Row],[Profit]]/Table1[[#This Row],[Revenue]])</f>
        <v>0.11657896291156462</v>
      </c>
    </row>
    <row r="1100" spans="1:11" x14ac:dyDescent="0.35">
      <c r="A1100" s="1">
        <v>45418</v>
      </c>
      <c r="B1100" s="3" t="s">
        <v>20</v>
      </c>
      <c r="C1100" s="3" t="s">
        <v>17</v>
      </c>
      <c r="D1100" s="3" t="s">
        <v>15</v>
      </c>
      <c r="E1100" s="4">
        <v>7</v>
      </c>
      <c r="F1100" s="4">
        <v>815</v>
      </c>
      <c r="G1100" s="3" t="s">
        <v>19</v>
      </c>
      <c r="H1100">
        <v>5705</v>
      </c>
      <c r="I1100">
        <v>4560.2523220000003</v>
      </c>
      <c r="J1100">
        <v>1144.747678</v>
      </c>
      <c r="K1100" s="5">
        <f>IF(Table1[[#This Row],[Revenue]]=0, 0, Table1[[#This Row],[Profit]]/Table1[[#This Row],[Revenue]])</f>
        <v>0.2006569111305872</v>
      </c>
    </row>
    <row r="1101" spans="1:11" x14ac:dyDescent="0.35">
      <c r="A1101" s="1">
        <v>45397</v>
      </c>
      <c r="B1101" s="3" t="s">
        <v>10</v>
      </c>
      <c r="C1101" s="3" t="s">
        <v>11</v>
      </c>
      <c r="D1101" s="3" t="s">
        <v>32</v>
      </c>
      <c r="E1101" s="4">
        <v>18</v>
      </c>
      <c r="F1101" s="4">
        <v>973</v>
      </c>
      <c r="G1101" s="3" t="s">
        <v>13</v>
      </c>
      <c r="H1101">
        <v>17514</v>
      </c>
      <c r="I1101">
        <v>13041.00265</v>
      </c>
      <c r="J1101">
        <v>4472.9973499999996</v>
      </c>
      <c r="K1101" s="5">
        <f>IF(Table1[[#This Row],[Revenue]]=0, 0, Table1[[#This Row],[Profit]]/Table1[[#This Row],[Revenue]])</f>
        <v>0.25539553214571198</v>
      </c>
    </row>
    <row r="1102" spans="1:11" x14ac:dyDescent="0.35">
      <c r="A1102" s="1">
        <v>45383</v>
      </c>
      <c r="B1102" s="3" t="s">
        <v>20</v>
      </c>
      <c r="C1102" s="3" t="s">
        <v>28</v>
      </c>
      <c r="D1102" s="3" t="s">
        <v>21</v>
      </c>
      <c r="E1102" s="4">
        <v>16</v>
      </c>
      <c r="F1102" s="4">
        <v>398</v>
      </c>
      <c r="G1102" s="3" t="s">
        <v>16</v>
      </c>
      <c r="H1102">
        <v>6368</v>
      </c>
      <c r="I1102">
        <v>4493.7977769999998</v>
      </c>
      <c r="J1102">
        <v>1874.202223</v>
      </c>
      <c r="K1102" s="5">
        <f>IF(Table1[[#This Row],[Revenue]]=0, 0, Table1[[#This Row],[Profit]]/Table1[[#This Row],[Revenue]])</f>
        <v>0.29431567572236184</v>
      </c>
    </row>
    <row r="1103" spans="1:11" x14ac:dyDescent="0.35">
      <c r="A1103" s="1">
        <v>45578</v>
      </c>
      <c r="B1103" s="3" t="s">
        <v>10</v>
      </c>
      <c r="C1103" s="3" t="s">
        <v>35</v>
      </c>
      <c r="D1103" s="3" t="s">
        <v>29</v>
      </c>
      <c r="E1103" s="4">
        <v>14</v>
      </c>
      <c r="F1103" s="4">
        <v>1290</v>
      </c>
      <c r="G1103" s="3" t="s">
        <v>13</v>
      </c>
      <c r="H1103">
        <v>18060</v>
      </c>
      <c r="I1103">
        <v>13495.83216</v>
      </c>
      <c r="J1103">
        <v>4564.1678410000004</v>
      </c>
      <c r="K1103" s="5">
        <f>IF(Table1[[#This Row],[Revenue]]=0, 0, Table1[[#This Row],[Profit]]/Table1[[#This Row],[Revenue]])</f>
        <v>0.25272247181616836</v>
      </c>
    </row>
    <row r="1104" spans="1:11" x14ac:dyDescent="0.35">
      <c r="A1104" s="1">
        <v>45342</v>
      </c>
      <c r="B1104" s="3" t="s">
        <v>10</v>
      </c>
      <c r="C1104" s="3" t="s">
        <v>14</v>
      </c>
      <c r="D1104" s="3" t="s">
        <v>25</v>
      </c>
      <c r="E1104" s="4">
        <v>18</v>
      </c>
      <c r="F1104" s="4">
        <v>1836</v>
      </c>
      <c r="G1104" s="3" t="s">
        <v>16</v>
      </c>
      <c r="H1104">
        <v>33048</v>
      </c>
      <c r="I1104">
        <v>21716.028129999999</v>
      </c>
      <c r="J1104">
        <v>11331.971869999999</v>
      </c>
      <c r="K1104" s="5">
        <f>IF(Table1[[#This Row],[Revenue]]=0, 0, Table1[[#This Row],[Profit]]/Table1[[#This Row],[Revenue]])</f>
        <v>0.34289433157831034</v>
      </c>
    </row>
    <row r="1105" spans="1:11" x14ac:dyDescent="0.35">
      <c r="A1105" s="1">
        <v>45320</v>
      </c>
      <c r="B1105" s="3" t="s">
        <v>27</v>
      </c>
      <c r="C1105" s="3" t="s">
        <v>31</v>
      </c>
      <c r="D1105" s="3" t="s">
        <v>15</v>
      </c>
      <c r="E1105" s="4">
        <v>7</v>
      </c>
      <c r="F1105" s="4">
        <v>745</v>
      </c>
      <c r="G1105" s="3" t="s">
        <v>19</v>
      </c>
      <c r="H1105">
        <v>5215</v>
      </c>
      <c r="I1105">
        <v>3674.1072319999998</v>
      </c>
      <c r="J1105">
        <v>1540.8927679999999</v>
      </c>
      <c r="K1105" s="5">
        <f>IF(Table1[[#This Row],[Revenue]]=0, 0, Table1[[#This Row],[Profit]]/Table1[[#This Row],[Revenue]])</f>
        <v>0.29547320575263664</v>
      </c>
    </row>
    <row r="1106" spans="1:11" x14ac:dyDescent="0.35">
      <c r="A1106" s="1">
        <v>45587</v>
      </c>
      <c r="B1106" s="3" t="s">
        <v>20</v>
      </c>
      <c r="C1106" s="3" t="s">
        <v>11</v>
      </c>
      <c r="D1106" s="3" t="s">
        <v>29</v>
      </c>
      <c r="E1106" s="4">
        <v>17</v>
      </c>
      <c r="F1106" s="4">
        <v>822</v>
      </c>
      <c r="G1106" s="3" t="s">
        <v>13</v>
      </c>
      <c r="H1106">
        <v>13974</v>
      </c>
      <c r="I1106">
        <v>11394.10835</v>
      </c>
      <c r="J1106">
        <v>2579.891654</v>
      </c>
      <c r="K1106" s="5">
        <f>IF(Table1[[#This Row],[Revenue]]=0, 0, Table1[[#This Row],[Profit]]/Table1[[#This Row],[Revenue]])</f>
        <v>0.18462084256476313</v>
      </c>
    </row>
    <row r="1107" spans="1:11" x14ac:dyDescent="0.35">
      <c r="A1107" s="1">
        <v>45588</v>
      </c>
      <c r="B1107" s="3" t="s">
        <v>10</v>
      </c>
      <c r="C1107" s="3" t="s">
        <v>31</v>
      </c>
      <c r="D1107" s="3" t="s">
        <v>12</v>
      </c>
      <c r="E1107" s="4">
        <v>18</v>
      </c>
      <c r="F1107" s="4">
        <v>1171</v>
      </c>
      <c r="G1107" s="3" t="s">
        <v>19</v>
      </c>
      <c r="H1107">
        <v>21078</v>
      </c>
      <c r="I1107">
        <v>14021.65242</v>
      </c>
      <c r="J1107">
        <v>7056.3475840000001</v>
      </c>
      <c r="K1107" s="5">
        <f>IF(Table1[[#This Row],[Revenue]]=0, 0, Table1[[#This Row],[Profit]]/Table1[[#This Row],[Revenue]])</f>
        <v>0.33477310864408388</v>
      </c>
    </row>
    <row r="1108" spans="1:11" x14ac:dyDescent="0.35">
      <c r="A1108" s="1">
        <v>45505</v>
      </c>
      <c r="B1108" s="3" t="s">
        <v>20</v>
      </c>
      <c r="C1108" s="3" t="s">
        <v>24</v>
      </c>
      <c r="D1108" s="3" t="s">
        <v>30</v>
      </c>
      <c r="E1108" s="4">
        <v>12</v>
      </c>
      <c r="F1108" s="4">
        <v>737</v>
      </c>
      <c r="G1108" s="3" t="s">
        <v>19</v>
      </c>
      <c r="H1108">
        <v>8844</v>
      </c>
      <c r="I1108">
        <v>6007.0229239999999</v>
      </c>
      <c r="J1108">
        <v>2836.9770760000001</v>
      </c>
      <c r="K1108" s="5">
        <f>IF(Table1[[#This Row],[Revenue]]=0, 0, Table1[[#This Row],[Profit]]/Table1[[#This Row],[Revenue]])</f>
        <v>0.3207798593396653</v>
      </c>
    </row>
    <row r="1109" spans="1:11" x14ac:dyDescent="0.35">
      <c r="A1109" s="1">
        <v>45558</v>
      </c>
      <c r="B1109" s="3" t="s">
        <v>27</v>
      </c>
      <c r="C1109" s="3" t="s">
        <v>26</v>
      </c>
      <c r="D1109" s="3" t="s">
        <v>15</v>
      </c>
      <c r="E1109" s="4">
        <v>8</v>
      </c>
      <c r="F1109" s="4">
        <v>338</v>
      </c>
      <c r="G1109" s="3" t="s">
        <v>19</v>
      </c>
      <c r="H1109">
        <v>2704</v>
      </c>
      <c r="I1109">
        <v>2230.2550809999998</v>
      </c>
      <c r="J1109">
        <v>473.74491899999998</v>
      </c>
      <c r="K1109" s="5">
        <f>IF(Table1[[#This Row],[Revenue]]=0, 0, Table1[[#This Row],[Profit]]/Table1[[#This Row],[Revenue]])</f>
        <v>0.17520152329881655</v>
      </c>
    </row>
    <row r="1110" spans="1:11" x14ac:dyDescent="0.35">
      <c r="A1110" s="1">
        <v>45548</v>
      </c>
      <c r="B1110" s="3" t="s">
        <v>27</v>
      </c>
      <c r="C1110" s="3" t="s">
        <v>26</v>
      </c>
      <c r="D1110" s="3" t="s">
        <v>12</v>
      </c>
      <c r="E1110" s="4">
        <v>2</v>
      </c>
      <c r="F1110" s="4">
        <v>1130</v>
      </c>
      <c r="G1110" s="3" t="s">
        <v>19</v>
      </c>
      <c r="H1110">
        <v>2260</v>
      </c>
      <c r="I1110">
        <v>1476.572764</v>
      </c>
      <c r="J1110">
        <v>783.42723550000005</v>
      </c>
      <c r="K1110" s="5">
        <f>IF(Table1[[#This Row],[Revenue]]=0, 0, Table1[[#This Row],[Profit]]/Table1[[#This Row],[Revenue]])</f>
        <v>0.34664921924778763</v>
      </c>
    </row>
    <row r="1111" spans="1:11" x14ac:dyDescent="0.35">
      <c r="A1111" s="1">
        <v>45593</v>
      </c>
      <c r="B1111" s="3" t="s">
        <v>20</v>
      </c>
      <c r="C1111" s="3" t="s">
        <v>26</v>
      </c>
      <c r="D1111" s="3" t="s">
        <v>15</v>
      </c>
      <c r="E1111" s="4">
        <v>7</v>
      </c>
      <c r="F1111" s="4">
        <v>563</v>
      </c>
      <c r="G1111" s="3" t="s">
        <v>19</v>
      </c>
      <c r="H1111">
        <v>3941</v>
      </c>
      <c r="I1111">
        <v>2655.3128929999998</v>
      </c>
      <c r="J1111">
        <v>1285.687107</v>
      </c>
      <c r="K1111" s="5">
        <f>IF(Table1[[#This Row],[Revenue]]=0, 0, Table1[[#This Row],[Profit]]/Table1[[#This Row],[Revenue]])</f>
        <v>0.32623372418167979</v>
      </c>
    </row>
    <row r="1112" spans="1:11" x14ac:dyDescent="0.35">
      <c r="A1112" s="1">
        <v>45392</v>
      </c>
      <c r="B1112" s="3" t="s">
        <v>43</v>
      </c>
      <c r="C1112" s="3" t="s">
        <v>14</v>
      </c>
      <c r="D1112" s="3" t="s">
        <v>18</v>
      </c>
      <c r="E1112" s="4">
        <v>4</v>
      </c>
      <c r="F1112" s="4">
        <v>552</v>
      </c>
      <c r="G1112" s="3" t="s">
        <v>16</v>
      </c>
      <c r="H1112">
        <v>2208</v>
      </c>
      <c r="I1112">
        <v>1336.4235060000001</v>
      </c>
      <c r="J1112">
        <v>871.5764944</v>
      </c>
      <c r="K1112" s="5">
        <f>IF(Table1[[#This Row],[Revenue]]=0, 0, Table1[[#This Row],[Profit]]/Table1[[#This Row],[Revenue]])</f>
        <v>0.39473573115942029</v>
      </c>
    </row>
    <row r="1113" spans="1:11" x14ac:dyDescent="0.35">
      <c r="A1113" s="1">
        <v>45637</v>
      </c>
      <c r="B1113" s="3" t="s">
        <v>23</v>
      </c>
      <c r="C1113" s="3" t="s">
        <v>31</v>
      </c>
      <c r="D1113" s="3" t="s">
        <v>12</v>
      </c>
      <c r="E1113" s="4">
        <v>18</v>
      </c>
      <c r="F1113" s="4">
        <v>883</v>
      </c>
      <c r="G1113" s="3" t="s">
        <v>19</v>
      </c>
      <c r="H1113">
        <v>15894</v>
      </c>
      <c r="I1113">
        <v>12969.750040000001</v>
      </c>
      <c r="J1113">
        <v>2924.2499630000002</v>
      </c>
      <c r="K1113" s="5">
        <f>IF(Table1[[#This Row],[Revenue]]=0, 0, Table1[[#This Row],[Profit]]/Table1[[#This Row],[Revenue]])</f>
        <v>0.18398452013338368</v>
      </c>
    </row>
    <row r="1114" spans="1:11" x14ac:dyDescent="0.35">
      <c r="A1114" s="1">
        <v>45401</v>
      </c>
      <c r="B1114" s="3" t="s">
        <v>23</v>
      </c>
      <c r="C1114" s="3" t="s">
        <v>11</v>
      </c>
      <c r="D1114" s="3" t="s">
        <v>30</v>
      </c>
      <c r="E1114" s="4">
        <v>6</v>
      </c>
      <c r="F1114" s="4">
        <v>996</v>
      </c>
      <c r="G1114" s="3" t="s">
        <v>13</v>
      </c>
      <c r="H1114">
        <v>5976</v>
      </c>
      <c r="I1114">
        <v>4693.377512</v>
      </c>
      <c r="J1114">
        <v>1282.622488</v>
      </c>
      <c r="K1114" s="5">
        <f>IF(Table1[[#This Row],[Revenue]]=0, 0, Table1[[#This Row],[Profit]]/Table1[[#This Row],[Revenue]])</f>
        <v>0.21462893038821954</v>
      </c>
    </row>
    <row r="1115" spans="1:11" x14ac:dyDescent="0.35">
      <c r="A1115" s="1">
        <v>45473</v>
      </c>
      <c r="B1115" s="3" t="s">
        <v>27</v>
      </c>
      <c r="C1115" s="3" t="s">
        <v>26</v>
      </c>
      <c r="D1115" s="3" t="s">
        <v>30</v>
      </c>
      <c r="E1115" s="4">
        <v>9</v>
      </c>
      <c r="F1115" s="4">
        <v>470</v>
      </c>
      <c r="G1115" s="3" t="s">
        <v>19</v>
      </c>
      <c r="H1115">
        <v>4230</v>
      </c>
      <c r="I1115">
        <v>3419.1751389999999</v>
      </c>
      <c r="J1115">
        <v>810.82486080000001</v>
      </c>
      <c r="K1115" s="5">
        <f>IF(Table1[[#This Row],[Revenue]]=0, 0, Table1[[#This Row],[Profit]]/Table1[[#This Row],[Revenue]])</f>
        <v>0.19168436425531915</v>
      </c>
    </row>
    <row r="1116" spans="1:11" x14ac:dyDescent="0.35">
      <c r="A1116" s="1">
        <v>45604</v>
      </c>
      <c r="B1116" s="3" t="s">
        <v>23</v>
      </c>
      <c r="C1116" s="3" t="s">
        <v>11</v>
      </c>
      <c r="D1116" s="3" t="s">
        <v>32</v>
      </c>
      <c r="E1116" s="4">
        <v>9</v>
      </c>
      <c r="F1116" s="4">
        <v>1672</v>
      </c>
      <c r="G1116" s="3" t="s">
        <v>13</v>
      </c>
      <c r="H1116">
        <v>15048</v>
      </c>
      <c r="I1116">
        <v>9996.3612489999996</v>
      </c>
      <c r="J1116">
        <v>5051.6387510000004</v>
      </c>
      <c r="K1116" s="5">
        <f>IF(Table1[[#This Row],[Revenue]]=0, 0, Table1[[#This Row],[Profit]]/Table1[[#This Row],[Revenue]])</f>
        <v>0.3357016713849017</v>
      </c>
    </row>
    <row r="1117" spans="1:11" x14ac:dyDescent="0.35">
      <c r="A1117" s="1">
        <v>45292</v>
      </c>
      <c r="B1117" s="3" t="s">
        <v>36</v>
      </c>
      <c r="C1117" s="3" t="s">
        <v>31</v>
      </c>
      <c r="D1117" s="3" t="s">
        <v>15</v>
      </c>
      <c r="E1117" s="4">
        <v>14</v>
      </c>
      <c r="F1117" s="4">
        <v>586</v>
      </c>
      <c r="G1117" s="3" t="s">
        <v>19</v>
      </c>
      <c r="H1117">
        <v>8204</v>
      </c>
      <c r="I1117">
        <v>6614.1707729999998</v>
      </c>
      <c r="J1117">
        <v>1589.8292269999999</v>
      </c>
      <c r="K1117" s="5">
        <f>IF(Table1[[#This Row],[Revenue]]=0, 0, Table1[[#This Row],[Profit]]/Table1[[#This Row],[Revenue]])</f>
        <v>0.19378708276450513</v>
      </c>
    </row>
    <row r="1118" spans="1:11" x14ac:dyDescent="0.35">
      <c r="A1118" s="1">
        <v>45610</v>
      </c>
      <c r="B1118" s="3" t="s">
        <v>43</v>
      </c>
      <c r="C1118" s="3" t="s">
        <v>14</v>
      </c>
      <c r="D1118" s="3" t="s">
        <v>25</v>
      </c>
      <c r="E1118" s="4">
        <v>8</v>
      </c>
      <c r="F1118" s="4">
        <v>1334</v>
      </c>
      <c r="G1118" s="3" t="s">
        <v>16</v>
      </c>
      <c r="H1118">
        <v>10672</v>
      </c>
      <c r="I1118">
        <v>8312.5593790000003</v>
      </c>
      <c r="J1118">
        <v>2359.4406210000002</v>
      </c>
      <c r="K1118" s="5">
        <f>IF(Table1[[#This Row],[Revenue]]=0, 0, Table1[[#This Row],[Profit]]/Table1[[#This Row],[Revenue]])</f>
        <v>0.22108701471139433</v>
      </c>
    </row>
    <row r="1119" spans="1:11" x14ac:dyDescent="0.35">
      <c r="A1119" s="1">
        <v>45346</v>
      </c>
      <c r="B1119" s="3" t="s">
        <v>10</v>
      </c>
      <c r="C1119" s="3" t="s">
        <v>24</v>
      </c>
      <c r="D1119" s="3" t="s">
        <v>30</v>
      </c>
      <c r="E1119" s="4">
        <v>19</v>
      </c>
      <c r="F1119" s="4">
        <v>264</v>
      </c>
      <c r="G1119" s="3" t="s">
        <v>19</v>
      </c>
      <c r="H1119">
        <v>5016</v>
      </c>
      <c r="I1119">
        <v>3560.5418589999999</v>
      </c>
      <c r="J1119">
        <v>1455.4581410000001</v>
      </c>
      <c r="K1119" s="5">
        <f>IF(Table1[[#This Row],[Revenue]]=0, 0, Table1[[#This Row],[Profit]]/Table1[[#This Row],[Revenue]])</f>
        <v>0.29016310625996811</v>
      </c>
    </row>
    <row r="1120" spans="1:11" x14ac:dyDescent="0.35">
      <c r="A1120" s="1">
        <v>45440</v>
      </c>
      <c r="B1120" s="3" t="s">
        <v>20</v>
      </c>
      <c r="C1120" s="3" t="s">
        <v>14</v>
      </c>
      <c r="D1120" s="3" t="s">
        <v>15</v>
      </c>
      <c r="E1120" s="4">
        <v>3</v>
      </c>
      <c r="F1120" s="4">
        <v>1248</v>
      </c>
      <c r="G1120" s="3" t="s">
        <v>16</v>
      </c>
      <c r="H1120">
        <v>3744</v>
      </c>
      <c r="I1120">
        <v>2738.1659519999998</v>
      </c>
      <c r="J1120">
        <v>1005.8340480000001</v>
      </c>
      <c r="K1120" s="5">
        <f>IF(Table1[[#This Row],[Revenue]]=0, 0, Table1[[#This Row],[Profit]]/Table1[[#This Row],[Revenue]])</f>
        <v>0.26865225641025642</v>
      </c>
    </row>
    <row r="1121" spans="1:11" x14ac:dyDescent="0.35">
      <c r="A1121" s="1">
        <v>45600</v>
      </c>
      <c r="B1121" s="3" t="s">
        <v>27</v>
      </c>
      <c r="C1121" s="3" t="s">
        <v>11</v>
      </c>
      <c r="D1121" s="3" t="s">
        <v>32</v>
      </c>
      <c r="E1121" s="4">
        <v>18</v>
      </c>
      <c r="F1121" s="4">
        <v>1460</v>
      </c>
      <c r="G1121" s="3" t="s">
        <v>13</v>
      </c>
      <c r="H1121">
        <v>26280</v>
      </c>
      <c r="I1121">
        <v>20245.485250000002</v>
      </c>
      <c r="J1121">
        <v>6034.514752</v>
      </c>
      <c r="K1121" s="5">
        <f>IF(Table1[[#This Row],[Revenue]]=0, 0, Table1[[#This Row],[Profit]]/Table1[[#This Row],[Revenue]])</f>
        <v>0.2296238490106545</v>
      </c>
    </row>
    <row r="1122" spans="1:11" x14ac:dyDescent="0.35">
      <c r="A1122" s="1">
        <v>45428</v>
      </c>
      <c r="B1122" s="3" t="s">
        <v>10</v>
      </c>
      <c r="C1122" s="3" t="s">
        <v>14</v>
      </c>
      <c r="D1122" s="3" t="s">
        <v>25</v>
      </c>
      <c r="E1122" s="4">
        <v>5</v>
      </c>
      <c r="F1122" s="4">
        <v>291</v>
      </c>
      <c r="G1122" s="3" t="s">
        <v>16</v>
      </c>
      <c r="H1122">
        <v>1455</v>
      </c>
      <c r="I1122">
        <v>1088.3220349999999</v>
      </c>
      <c r="J1122">
        <v>366.67796509999999</v>
      </c>
      <c r="K1122" s="5">
        <f>IF(Table1[[#This Row],[Revenue]]=0, 0, Table1[[#This Row],[Profit]]/Table1[[#This Row],[Revenue]])</f>
        <v>0.25201234714776632</v>
      </c>
    </row>
    <row r="1123" spans="1:11" x14ac:dyDescent="0.35">
      <c r="A1123" s="1">
        <v>45493</v>
      </c>
      <c r="B1123" s="3" t="s">
        <v>27</v>
      </c>
      <c r="C1123" s="3" t="s">
        <v>14</v>
      </c>
      <c r="D1123" s="3" t="s">
        <v>12</v>
      </c>
      <c r="E1123" s="4">
        <v>14</v>
      </c>
      <c r="F1123" s="4">
        <v>829</v>
      </c>
      <c r="G1123" s="3" t="s">
        <v>16</v>
      </c>
      <c r="H1123">
        <v>11606</v>
      </c>
      <c r="I1123">
        <v>9198.3169600000001</v>
      </c>
      <c r="J1123">
        <v>2407.6830399999999</v>
      </c>
      <c r="K1123" s="5">
        <f>IF(Table1[[#This Row],[Revenue]]=0, 0, Table1[[#This Row],[Profit]]/Table1[[#This Row],[Revenue]])</f>
        <v>0.20745158021712906</v>
      </c>
    </row>
    <row r="1124" spans="1:11" x14ac:dyDescent="0.35">
      <c r="A1124" s="1">
        <v>45604</v>
      </c>
      <c r="B1124" s="3" t="s">
        <v>27</v>
      </c>
      <c r="C1124" s="3" t="s">
        <v>24</v>
      </c>
      <c r="D1124" s="3" t="s">
        <v>32</v>
      </c>
      <c r="E1124" s="4">
        <v>4</v>
      </c>
      <c r="F1124" s="4">
        <v>313</v>
      </c>
      <c r="G1124" s="3" t="s">
        <v>19</v>
      </c>
      <c r="H1124">
        <v>1252</v>
      </c>
      <c r="I1124">
        <v>819.17592930000001</v>
      </c>
      <c r="J1124">
        <v>432.82407069999999</v>
      </c>
      <c r="K1124" s="5">
        <f>IF(Table1[[#This Row],[Revenue]]=0, 0, Table1[[#This Row],[Profit]]/Table1[[#This Row],[Revenue]])</f>
        <v>0.34570612675718848</v>
      </c>
    </row>
    <row r="1125" spans="1:11" x14ac:dyDescent="0.35">
      <c r="A1125" s="1">
        <v>45408</v>
      </c>
      <c r="B1125" s="3" t="s">
        <v>20</v>
      </c>
      <c r="C1125" s="3" t="s">
        <v>31</v>
      </c>
      <c r="D1125" s="3" t="s">
        <v>18</v>
      </c>
      <c r="E1125" s="4">
        <v>7</v>
      </c>
      <c r="F1125" s="4">
        <v>673</v>
      </c>
      <c r="G1125" s="3" t="s">
        <v>19</v>
      </c>
      <c r="H1125">
        <v>4711</v>
      </c>
      <c r="I1125">
        <v>3590.7853789999999</v>
      </c>
      <c r="J1125">
        <v>1120.2146210000001</v>
      </c>
      <c r="K1125" s="5">
        <f>IF(Table1[[#This Row],[Revenue]]=0, 0, Table1[[#This Row],[Profit]]/Table1[[#This Row],[Revenue]])</f>
        <v>0.23778701358522608</v>
      </c>
    </row>
    <row r="1126" spans="1:11" x14ac:dyDescent="0.35">
      <c r="A1126" s="1">
        <v>45445</v>
      </c>
      <c r="B1126" s="3" t="s">
        <v>20</v>
      </c>
      <c r="C1126" s="3" t="s">
        <v>31</v>
      </c>
      <c r="D1126" s="3" t="s">
        <v>25</v>
      </c>
      <c r="E1126" s="4">
        <v>12</v>
      </c>
      <c r="F1126" s="4">
        <v>1451</v>
      </c>
      <c r="G1126" s="3" t="s">
        <v>19</v>
      </c>
      <c r="H1126">
        <v>17412</v>
      </c>
      <c r="I1126">
        <v>12799.279909999999</v>
      </c>
      <c r="J1126">
        <v>4612.7200929999999</v>
      </c>
      <c r="K1126" s="5">
        <f>IF(Table1[[#This Row],[Revenue]]=0, 0, Table1[[#This Row],[Profit]]/Table1[[#This Row],[Revenue]])</f>
        <v>0.26491615512290373</v>
      </c>
    </row>
    <row r="1127" spans="1:11" x14ac:dyDescent="0.35">
      <c r="A1127" s="1">
        <v>45582</v>
      </c>
      <c r="B1127" s="3" t="s">
        <v>20</v>
      </c>
      <c r="C1127" s="3" t="s">
        <v>22</v>
      </c>
      <c r="D1127" s="3" t="s">
        <v>15</v>
      </c>
      <c r="E1127" s="4">
        <v>2</v>
      </c>
      <c r="F1127" s="4">
        <v>1056</v>
      </c>
      <c r="G1127" s="3" t="s">
        <v>13</v>
      </c>
      <c r="H1127">
        <v>2112</v>
      </c>
      <c r="I1127">
        <v>1559.3025849999999</v>
      </c>
      <c r="J1127">
        <v>552.69741499999998</v>
      </c>
      <c r="K1127" s="5">
        <f>IF(Table1[[#This Row],[Revenue]]=0, 0, Table1[[#This Row],[Profit]]/Table1[[#This Row],[Revenue]])</f>
        <v>0.26169385179924243</v>
      </c>
    </row>
    <row r="1128" spans="1:11" x14ac:dyDescent="0.35">
      <c r="A1128" s="1">
        <v>45354</v>
      </c>
      <c r="B1128" s="3" t="s">
        <v>10</v>
      </c>
      <c r="C1128" s="3" t="s">
        <v>14</v>
      </c>
      <c r="D1128" s="3" t="s">
        <v>30</v>
      </c>
      <c r="E1128" s="4">
        <v>11</v>
      </c>
      <c r="F1128" s="4">
        <v>480</v>
      </c>
      <c r="G1128" s="3" t="s">
        <v>16</v>
      </c>
      <c r="H1128">
        <v>5280</v>
      </c>
      <c r="I1128">
        <v>3911.5011679999998</v>
      </c>
      <c r="J1128">
        <v>1368.498832</v>
      </c>
      <c r="K1128" s="5">
        <f>IF(Table1[[#This Row],[Revenue]]=0, 0, Table1[[#This Row],[Profit]]/Table1[[#This Row],[Revenue]])</f>
        <v>0.25918538484848486</v>
      </c>
    </row>
    <row r="1129" spans="1:11" x14ac:dyDescent="0.35">
      <c r="A1129" s="1">
        <v>45535</v>
      </c>
      <c r="B1129" s="3" t="s">
        <v>23</v>
      </c>
      <c r="C1129" s="3" t="s">
        <v>31</v>
      </c>
      <c r="D1129" s="3" t="s">
        <v>30</v>
      </c>
      <c r="E1129" s="4">
        <v>14</v>
      </c>
      <c r="F1129" s="4">
        <v>772</v>
      </c>
      <c r="G1129" s="3" t="s">
        <v>19</v>
      </c>
      <c r="H1129">
        <v>10808</v>
      </c>
      <c r="I1129">
        <v>9342.8846950000006</v>
      </c>
      <c r="J1129">
        <v>1465.115305</v>
      </c>
      <c r="K1129" s="5">
        <f>IF(Table1[[#This Row],[Revenue]]=0, 0, Table1[[#This Row],[Profit]]/Table1[[#This Row],[Revenue]])</f>
        <v>0.13555841089933382</v>
      </c>
    </row>
    <row r="1130" spans="1:11" x14ac:dyDescent="0.35">
      <c r="A1130" s="1">
        <v>45316</v>
      </c>
      <c r="B1130" s="3" t="s">
        <v>20</v>
      </c>
      <c r="C1130" s="3" t="s">
        <v>31</v>
      </c>
      <c r="D1130" s="3" t="s">
        <v>15</v>
      </c>
      <c r="E1130" s="4">
        <v>16</v>
      </c>
      <c r="F1130" s="4">
        <v>1701</v>
      </c>
      <c r="G1130" s="3" t="s">
        <v>19</v>
      </c>
      <c r="H1130">
        <v>27216</v>
      </c>
      <c r="I1130">
        <v>23013.529330000001</v>
      </c>
      <c r="J1130">
        <v>4202.4706690000003</v>
      </c>
      <c r="K1130" s="5">
        <f>IF(Table1[[#This Row],[Revenue]]=0, 0, Table1[[#This Row],[Profit]]/Table1[[#This Row],[Revenue]])</f>
        <v>0.1544117676734274</v>
      </c>
    </row>
    <row r="1131" spans="1:11" x14ac:dyDescent="0.35">
      <c r="A1131" s="1">
        <v>45381</v>
      </c>
      <c r="B1131" s="3" t="s">
        <v>20</v>
      </c>
      <c r="C1131" s="3" t="s">
        <v>17</v>
      </c>
      <c r="D1131" s="3" t="s">
        <v>15</v>
      </c>
      <c r="E1131" s="4">
        <v>6</v>
      </c>
      <c r="F1131" s="4">
        <v>897</v>
      </c>
      <c r="G1131" s="3" t="s">
        <v>19</v>
      </c>
      <c r="H1131">
        <v>5382</v>
      </c>
      <c r="I1131">
        <v>4245.7036589999998</v>
      </c>
      <c r="J1131">
        <v>1136.296341</v>
      </c>
      <c r="K1131" s="5">
        <f>IF(Table1[[#This Row],[Revenue]]=0, 0, Table1[[#This Row],[Profit]]/Table1[[#This Row],[Revenue]])</f>
        <v>0.21112901170568563</v>
      </c>
    </row>
    <row r="1132" spans="1:11" x14ac:dyDescent="0.35">
      <c r="A1132" s="1">
        <v>45366</v>
      </c>
      <c r="B1132" s="3" t="s">
        <v>10</v>
      </c>
      <c r="C1132" s="3" t="s">
        <v>26</v>
      </c>
      <c r="D1132" s="3" t="s">
        <v>15</v>
      </c>
      <c r="E1132" s="4">
        <v>4</v>
      </c>
      <c r="F1132" s="4">
        <v>338</v>
      </c>
      <c r="G1132" s="3" t="s">
        <v>19</v>
      </c>
      <c r="H1132">
        <v>1352</v>
      </c>
      <c r="I1132">
        <v>1101.8071010000001</v>
      </c>
      <c r="J1132">
        <v>250.19289889999999</v>
      </c>
      <c r="K1132" s="5">
        <f>IF(Table1[[#This Row],[Revenue]]=0, 0, Table1[[#This Row],[Profit]]/Table1[[#This Row],[Revenue]])</f>
        <v>0.18505391930473372</v>
      </c>
    </row>
    <row r="1133" spans="1:11" x14ac:dyDescent="0.35">
      <c r="A1133" s="1">
        <v>45585</v>
      </c>
      <c r="B1133" s="3" t="s">
        <v>20</v>
      </c>
      <c r="C1133" s="3" t="s">
        <v>22</v>
      </c>
      <c r="D1133" s="3" t="s">
        <v>21</v>
      </c>
      <c r="E1133" s="4">
        <v>15</v>
      </c>
      <c r="F1133" s="4">
        <v>1655</v>
      </c>
      <c r="G1133" s="3" t="s">
        <v>13</v>
      </c>
      <c r="H1133">
        <v>24825</v>
      </c>
      <c r="I1133">
        <v>15213.772629999999</v>
      </c>
      <c r="J1133">
        <v>9611.2273679999998</v>
      </c>
      <c r="K1133" s="5">
        <f>IF(Table1[[#This Row],[Revenue]]=0, 0, Table1[[#This Row],[Profit]]/Table1[[#This Row],[Revenue]])</f>
        <v>0.38715920918429003</v>
      </c>
    </row>
    <row r="1134" spans="1:11" x14ac:dyDescent="0.35">
      <c r="A1134" s="1">
        <v>45501</v>
      </c>
      <c r="B1134" s="3" t="s">
        <v>10</v>
      </c>
      <c r="C1134" s="3" t="s">
        <v>28</v>
      </c>
      <c r="D1134" s="3" t="s">
        <v>25</v>
      </c>
      <c r="E1134" s="4">
        <v>1</v>
      </c>
      <c r="F1134" s="4">
        <v>799</v>
      </c>
      <c r="G1134" s="3" t="s">
        <v>16</v>
      </c>
      <c r="H1134">
        <v>799</v>
      </c>
      <c r="I1134">
        <v>657.73481509999999</v>
      </c>
      <c r="J1134">
        <v>141.26518490000001</v>
      </c>
      <c r="K1134" s="5">
        <f>IF(Table1[[#This Row],[Revenue]]=0, 0, Table1[[#This Row],[Profit]]/Table1[[#This Row],[Revenue]])</f>
        <v>0.17680248423028788</v>
      </c>
    </row>
    <row r="1135" spans="1:11" x14ac:dyDescent="0.35">
      <c r="A1135" s="1">
        <v>45638</v>
      </c>
      <c r="B1135" s="3" t="s">
        <v>27</v>
      </c>
      <c r="C1135" s="3" t="s">
        <v>22</v>
      </c>
      <c r="D1135" s="3" t="s">
        <v>30</v>
      </c>
      <c r="E1135" s="4">
        <v>7</v>
      </c>
      <c r="F1135" s="4">
        <v>1205</v>
      </c>
      <c r="G1135" s="3" t="s">
        <v>13</v>
      </c>
      <c r="H1135">
        <v>8435</v>
      </c>
      <c r="I1135">
        <v>6291.2397440000004</v>
      </c>
      <c r="J1135">
        <v>2143.760256</v>
      </c>
      <c r="K1135" s="5">
        <f>IF(Table1[[#This Row],[Revenue]]=0, 0, Table1[[#This Row],[Profit]]/Table1[[#This Row],[Revenue]])</f>
        <v>0.25415059347954949</v>
      </c>
    </row>
    <row r="1136" spans="1:11" x14ac:dyDescent="0.35">
      <c r="A1136" s="1">
        <v>45308</v>
      </c>
      <c r="B1136" s="3" t="s">
        <v>20</v>
      </c>
      <c r="C1136" s="3" t="s">
        <v>22</v>
      </c>
      <c r="D1136" s="3" t="s">
        <v>25</v>
      </c>
      <c r="E1136" s="4">
        <v>12</v>
      </c>
      <c r="F1136" s="4">
        <v>1486</v>
      </c>
      <c r="G1136" s="3" t="s">
        <v>13</v>
      </c>
      <c r="H1136">
        <v>17832</v>
      </c>
      <c r="I1136">
        <v>12399.022370000001</v>
      </c>
      <c r="J1136">
        <v>5432.977629</v>
      </c>
      <c r="K1136" s="5">
        <f>IF(Table1[[#This Row],[Revenue]]=0, 0, Table1[[#This Row],[Profit]]/Table1[[#This Row],[Revenue]])</f>
        <v>0.3046757306527591</v>
      </c>
    </row>
    <row r="1137" spans="1:11" x14ac:dyDescent="0.35">
      <c r="A1137" s="1">
        <v>45419</v>
      </c>
      <c r="B1137" s="3" t="s">
        <v>20</v>
      </c>
      <c r="C1137" s="3" t="s">
        <v>28</v>
      </c>
      <c r="D1137" s="3" t="s">
        <v>32</v>
      </c>
      <c r="E1137" s="4">
        <v>10</v>
      </c>
      <c r="F1137" s="4">
        <v>604</v>
      </c>
      <c r="G1137" s="3" t="s">
        <v>16</v>
      </c>
      <c r="H1137">
        <v>6040</v>
      </c>
      <c r="I1137">
        <v>3877.275862</v>
      </c>
      <c r="J1137">
        <v>2162.724138</v>
      </c>
      <c r="K1137" s="5">
        <f>IF(Table1[[#This Row],[Revenue]]=0, 0, Table1[[#This Row],[Profit]]/Table1[[#This Row],[Revenue]])</f>
        <v>0.35806691026490067</v>
      </c>
    </row>
    <row r="1138" spans="1:11" x14ac:dyDescent="0.35">
      <c r="A1138" s="1">
        <v>45655</v>
      </c>
      <c r="B1138" s="3" t="s">
        <v>27</v>
      </c>
      <c r="C1138" s="3" t="s">
        <v>17</v>
      </c>
      <c r="D1138" s="3" t="s">
        <v>30</v>
      </c>
      <c r="E1138" s="4">
        <v>5</v>
      </c>
      <c r="F1138" s="4">
        <v>301</v>
      </c>
      <c r="G1138" s="3" t="s">
        <v>19</v>
      </c>
      <c r="H1138">
        <v>1505</v>
      </c>
      <c r="I1138">
        <v>936.95676879999996</v>
      </c>
      <c r="J1138">
        <v>568.04323120000004</v>
      </c>
      <c r="K1138" s="5">
        <f>IF(Table1[[#This Row],[Revenue]]=0, 0, Table1[[#This Row],[Profit]]/Table1[[#This Row],[Revenue]])</f>
        <v>0.37743736292358804</v>
      </c>
    </row>
    <row r="1139" spans="1:11" x14ac:dyDescent="0.35">
      <c r="A1139" s="1">
        <v>45542</v>
      </c>
      <c r="B1139" s="3" t="s">
        <v>27</v>
      </c>
      <c r="C1139" s="3" t="s">
        <v>14</v>
      </c>
      <c r="D1139" s="3" t="s">
        <v>44</v>
      </c>
      <c r="E1139" s="4">
        <v>12</v>
      </c>
      <c r="F1139" s="4">
        <v>1019</v>
      </c>
      <c r="G1139" s="3" t="s">
        <v>16</v>
      </c>
      <c r="H1139">
        <v>12228</v>
      </c>
      <c r="I1139">
        <v>7501.4586490000002</v>
      </c>
      <c r="J1139">
        <v>4726.5413509999998</v>
      </c>
      <c r="K1139" s="5">
        <f>IF(Table1[[#This Row],[Revenue]]=0, 0, Table1[[#This Row],[Profit]]/Table1[[#This Row],[Revenue]])</f>
        <v>0.38653429432450115</v>
      </c>
    </row>
    <row r="1140" spans="1:11" x14ac:dyDescent="0.35">
      <c r="A1140" s="1">
        <v>45470</v>
      </c>
      <c r="B1140" s="3" t="s">
        <v>27</v>
      </c>
      <c r="C1140" s="3" t="s">
        <v>24</v>
      </c>
      <c r="D1140" s="3" t="s">
        <v>15</v>
      </c>
      <c r="E1140" s="4">
        <v>18</v>
      </c>
      <c r="F1140" s="4">
        <v>1627</v>
      </c>
      <c r="G1140" s="3" t="s">
        <v>19</v>
      </c>
      <c r="H1140">
        <v>29286</v>
      </c>
      <c r="I1140">
        <v>18993.108830000001</v>
      </c>
      <c r="J1140">
        <v>10292.891170000001</v>
      </c>
      <c r="K1140" s="5">
        <f>IF(Table1[[#This Row],[Revenue]]=0, 0, Table1[[#This Row],[Profit]]/Table1[[#This Row],[Revenue]])</f>
        <v>0.35146114764734004</v>
      </c>
    </row>
    <row r="1141" spans="1:11" x14ac:dyDescent="0.35">
      <c r="A1141" s="1">
        <v>45473</v>
      </c>
      <c r="B1141" s="3" t="s">
        <v>20</v>
      </c>
      <c r="C1141" s="3" t="s">
        <v>31</v>
      </c>
      <c r="D1141" s="3" t="s">
        <v>18</v>
      </c>
      <c r="E1141" s="4">
        <v>10</v>
      </c>
      <c r="F1141" s="4">
        <v>1767</v>
      </c>
      <c r="G1141" s="3" t="s">
        <v>19</v>
      </c>
      <c r="H1141">
        <v>17670</v>
      </c>
      <c r="I1141">
        <v>10761.79226</v>
      </c>
      <c r="J1141">
        <v>6908.2077440000003</v>
      </c>
      <c r="K1141" s="5">
        <f>IF(Table1[[#This Row],[Revenue]]=0, 0, Table1[[#This Row],[Profit]]/Table1[[#This Row],[Revenue]])</f>
        <v>0.39095686157328807</v>
      </c>
    </row>
    <row r="1142" spans="1:11" x14ac:dyDescent="0.35">
      <c r="A1142" s="1">
        <v>45443</v>
      </c>
      <c r="B1142" s="3" t="s">
        <v>23</v>
      </c>
      <c r="C1142" s="3" t="s">
        <v>26</v>
      </c>
      <c r="D1142" s="3" t="s">
        <v>15</v>
      </c>
      <c r="E1142" s="4">
        <v>6</v>
      </c>
      <c r="F1142" s="4">
        <v>136</v>
      </c>
      <c r="G1142" s="3" t="s">
        <v>19</v>
      </c>
      <c r="H1142">
        <v>816</v>
      </c>
      <c r="I1142">
        <v>668.95082090000005</v>
      </c>
      <c r="J1142">
        <v>147.0491791</v>
      </c>
      <c r="K1142" s="5">
        <f>IF(Table1[[#This Row],[Revenue]]=0, 0, Table1[[#This Row],[Profit]]/Table1[[#This Row],[Revenue]])</f>
        <v>0.18020732732843137</v>
      </c>
    </row>
    <row r="1143" spans="1:11" x14ac:dyDescent="0.35">
      <c r="A1143" s="1">
        <v>45316</v>
      </c>
      <c r="B1143" s="3" t="s">
        <v>23</v>
      </c>
      <c r="C1143" s="3" t="s">
        <v>11</v>
      </c>
      <c r="D1143" s="3" t="s">
        <v>12</v>
      </c>
      <c r="E1143" s="4">
        <v>12</v>
      </c>
      <c r="F1143" s="4">
        <v>743</v>
      </c>
      <c r="G1143" s="3" t="s">
        <v>13</v>
      </c>
      <c r="H1143">
        <v>8916</v>
      </c>
      <c r="I1143">
        <v>6014.593046</v>
      </c>
      <c r="J1143">
        <v>2901.406954</v>
      </c>
      <c r="K1143" s="5">
        <f>IF(Table1[[#This Row],[Revenue]]=0, 0, Table1[[#This Row],[Profit]]/Table1[[#This Row],[Revenue]])</f>
        <v>0.32541576424405566</v>
      </c>
    </row>
    <row r="1144" spans="1:11" x14ac:dyDescent="0.35">
      <c r="A1144" s="1">
        <v>45471</v>
      </c>
      <c r="B1144" s="3" t="s">
        <v>23</v>
      </c>
      <c r="C1144" s="3" t="s">
        <v>14</v>
      </c>
      <c r="D1144" s="3" t="s">
        <v>15</v>
      </c>
      <c r="E1144" s="4">
        <v>7</v>
      </c>
      <c r="F1144" s="4">
        <v>1712</v>
      </c>
      <c r="G1144" s="3" t="s">
        <v>16</v>
      </c>
      <c r="H1144">
        <v>11984</v>
      </c>
      <c r="I1144">
        <v>8516.0955830000003</v>
      </c>
      <c r="J1144">
        <v>3467.9044170000002</v>
      </c>
      <c r="K1144" s="5">
        <f>IF(Table1[[#This Row],[Revenue]]=0, 0, Table1[[#This Row],[Profit]]/Table1[[#This Row],[Revenue]])</f>
        <v>0.2893778719125501</v>
      </c>
    </row>
    <row r="1145" spans="1:11" x14ac:dyDescent="0.35">
      <c r="A1145" s="1">
        <v>45489</v>
      </c>
      <c r="B1145" s="3" t="s">
        <v>20</v>
      </c>
      <c r="C1145" s="3" t="s">
        <v>28</v>
      </c>
      <c r="D1145" s="3" t="s">
        <v>21</v>
      </c>
      <c r="E1145" s="4">
        <v>18</v>
      </c>
      <c r="F1145" s="4">
        <v>1724</v>
      </c>
      <c r="G1145" s="3" t="s">
        <v>16</v>
      </c>
      <c r="H1145">
        <v>31032</v>
      </c>
      <c r="I1145">
        <v>26278.35886</v>
      </c>
      <c r="J1145">
        <v>4753.6411360000002</v>
      </c>
      <c r="K1145" s="5">
        <f>IF(Table1[[#This Row],[Revenue]]=0, 0, Table1[[#This Row],[Profit]]/Table1[[#This Row],[Revenue]])</f>
        <v>0.15318513585975768</v>
      </c>
    </row>
    <row r="1146" spans="1:11" x14ac:dyDescent="0.35">
      <c r="A1146" s="1">
        <v>45635</v>
      </c>
      <c r="B1146" s="3" t="s">
        <v>27</v>
      </c>
      <c r="C1146" s="3" t="s">
        <v>24</v>
      </c>
      <c r="D1146" s="3" t="s">
        <v>25</v>
      </c>
      <c r="E1146" s="4">
        <v>2</v>
      </c>
      <c r="F1146" s="4">
        <v>1525</v>
      </c>
      <c r="G1146" s="3" t="s">
        <v>19</v>
      </c>
      <c r="H1146">
        <v>3050</v>
      </c>
      <c r="I1146">
        <v>1934.911609</v>
      </c>
      <c r="J1146">
        <v>1115.088391</v>
      </c>
      <c r="K1146" s="5">
        <f>IF(Table1[[#This Row],[Revenue]]=0, 0, Table1[[#This Row],[Profit]]/Table1[[#This Row],[Revenue]])</f>
        <v>0.36560275114754098</v>
      </c>
    </row>
    <row r="1147" spans="1:11" x14ac:dyDescent="0.35">
      <c r="A1147" s="1">
        <v>45452</v>
      </c>
      <c r="B1147" s="3" t="s">
        <v>20</v>
      </c>
      <c r="C1147" s="3" t="s">
        <v>14</v>
      </c>
      <c r="D1147" s="3" t="s">
        <v>30</v>
      </c>
      <c r="E1147" s="4">
        <v>10</v>
      </c>
      <c r="F1147" s="4">
        <v>864</v>
      </c>
      <c r="G1147" s="3" t="s">
        <v>16</v>
      </c>
      <c r="H1147">
        <v>8640</v>
      </c>
      <c r="I1147">
        <v>7349.8597259999997</v>
      </c>
      <c r="J1147">
        <v>1290.1402740000001</v>
      </c>
      <c r="K1147" s="5">
        <f>IF(Table1[[#This Row],[Revenue]]=0, 0, Table1[[#This Row],[Profit]]/Table1[[#This Row],[Revenue]])</f>
        <v>0.14932179097222223</v>
      </c>
    </row>
    <row r="1148" spans="1:11" x14ac:dyDescent="0.35">
      <c r="A1148" s="1">
        <v>45468</v>
      </c>
      <c r="B1148" s="3" t="s">
        <v>27</v>
      </c>
      <c r="C1148" s="3" t="s">
        <v>28</v>
      </c>
      <c r="D1148" s="3" t="s">
        <v>15</v>
      </c>
      <c r="E1148" s="4">
        <v>15</v>
      </c>
      <c r="F1148" s="4">
        <v>1979</v>
      </c>
      <c r="G1148" s="3" t="s">
        <v>16</v>
      </c>
      <c r="H1148">
        <v>29685</v>
      </c>
      <c r="I1148">
        <v>23506.426589999999</v>
      </c>
      <c r="J1148">
        <v>6178.5734080000002</v>
      </c>
      <c r="K1148" s="5">
        <f>IF(Table1[[#This Row],[Revenue]]=0, 0, Table1[[#This Row],[Profit]]/Table1[[#This Row],[Revenue]])</f>
        <v>0.20813789482903824</v>
      </c>
    </row>
    <row r="1149" spans="1:11" x14ac:dyDescent="0.35">
      <c r="A1149" s="1">
        <v>45576</v>
      </c>
      <c r="B1149" s="3" t="s">
        <v>20</v>
      </c>
      <c r="C1149" s="3" t="s">
        <v>31</v>
      </c>
      <c r="D1149" s="3" t="s">
        <v>30</v>
      </c>
      <c r="E1149" s="4">
        <v>12</v>
      </c>
      <c r="F1149" s="4">
        <v>805</v>
      </c>
      <c r="G1149" s="3" t="s">
        <v>19</v>
      </c>
      <c r="H1149">
        <v>9660</v>
      </c>
      <c r="I1149">
        <v>6787.2015330000004</v>
      </c>
      <c r="J1149">
        <v>2872.7984670000001</v>
      </c>
      <c r="K1149" s="5">
        <f>IF(Table1[[#This Row],[Revenue]]=0, 0, Table1[[#This Row],[Profit]]/Table1[[#This Row],[Revenue]])</f>
        <v>0.29739114565217389</v>
      </c>
    </row>
    <row r="1150" spans="1:11" x14ac:dyDescent="0.35">
      <c r="A1150" s="1">
        <v>45354</v>
      </c>
      <c r="B1150" s="3" t="s">
        <v>20</v>
      </c>
      <c r="C1150" s="3" t="s">
        <v>17</v>
      </c>
      <c r="D1150" s="3" t="s">
        <v>29</v>
      </c>
      <c r="E1150" s="4">
        <v>17</v>
      </c>
      <c r="F1150" s="4">
        <v>1299</v>
      </c>
      <c r="G1150" s="3" t="s">
        <v>19</v>
      </c>
      <c r="H1150">
        <v>22083</v>
      </c>
      <c r="I1150">
        <v>14030.26101</v>
      </c>
      <c r="J1150">
        <v>8052.7389940000003</v>
      </c>
      <c r="K1150" s="5">
        <f>IF(Table1[[#This Row],[Revenue]]=0, 0, Table1[[#This Row],[Profit]]/Table1[[#This Row],[Revenue]])</f>
        <v>0.36465783607299734</v>
      </c>
    </row>
    <row r="1151" spans="1:11" x14ac:dyDescent="0.35">
      <c r="A1151" s="1">
        <v>45441</v>
      </c>
      <c r="B1151" s="3" t="s">
        <v>27</v>
      </c>
      <c r="C1151" s="3" t="s">
        <v>14</v>
      </c>
      <c r="D1151" s="3" t="s">
        <v>32</v>
      </c>
      <c r="E1151" s="4">
        <v>4</v>
      </c>
      <c r="F1151" s="4">
        <v>644</v>
      </c>
      <c r="G1151" s="3" t="s">
        <v>16</v>
      </c>
      <c r="H1151">
        <v>2576</v>
      </c>
      <c r="I1151">
        <v>1616.3055569999999</v>
      </c>
      <c r="J1151">
        <v>959.69444350000003</v>
      </c>
      <c r="K1151" s="5">
        <f>IF(Table1[[#This Row],[Revenue]]=0, 0, Table1[[#This Row],[Profit]]/Table1[[#This Row],[Revenue]])</f>
        <v>0.37255219079968943</v>
      </c>
    </row>
    <row r="1152" spans="1:11" x14ac:dyDescent="0.35">
      <c r="A1152" s="1">
        <v>45445</v>
      </c>
      <c r="B1152" s="3" t="s">
        <v>23</v>
      </c>
      <c r="C1152" s="3" t="s">
        <v>28</v>
      </c>
      <c r="D1152" s="3" t="s">
        <v>25</v>
      </c>
      <c r="E1152" s="4">
        <v>7</v>
      </c>
      <c r="F1152" s="4">
        <v>1693</v>
      </c>
      <c r="G1152" s="3" t="s">
        <v>16</v>
      </c>
      <c r="H1152">
        <v>11851</v>
      </c>
      <c r="I1152">
        <v>8303.4541549999994</v>
      </c>
      <c r="J1152">
        <v>3547.5458450000001</v>
      </c>
      <c r="K1152" s="5">
        <f>IF(Table1[[#This Row],[Revenue]]=0, 0, Table1[[#This Row],[Profit]]/Table1[[#This Row],[Revenue]])</f>
        <v>0.29934569614378537</v>
      </c>
    </row>
    <row r="1153" spans="1:11" x14ac:dyDescent="0.35">
      <c r="A1153" s="1">
        <v>45447</v>
      </c>
      <c r="B1153" s="3" t="s">
        <v>27</v>
      </c>
      <c r="C1153" s="3" t="s">
        <v>31</v>
      </c>
      <c r="D1153" s="3" t="s">
        <v>30</v>
      </c>
      <c r="E1153" s="4">
        <v>9</v>
      </c>
      <c r="F1153" s="4">
        <v>1590</v>
      </c>
      <c r="G1153" s="3" t="s">
        <v>19</v>
      </c>
      <c r="H1153">
        <v>14310</v>
      </c>
      <c r="I1153">
        <v>9188.4880890000004</v>
      </c>
      <c r="J1153">
        <v>5121.5119109999996</v>
      </c>
      <c r="K1153" s="5">
        <f>IF(Table1[[#This Row],[Revenue]]=0, 0, Table1[[#This Row],[Profit]]/Table1[[#This Row],[Revenue]])</f>
        <v>0.35789740817610061</v>
      </c>
    </row>
    <row r="1154" spans="1:11" x14ac:dyDescent="0.35">
      <c r="A1154" s="1">
        <v>45340</v>
      </c>
      <c r="B1154" s="3" t="s">
        <v>10</v>
      </c>
      <c r="C1154" s="3" t="s">
        <v>31</v>
      </c>
      <c r="D1154" s="3" t="s">
        <v>18</v>
      </c>
      <c r="E1154" s="4">
        <v>19</v>
      </c>
      <c r="F1154" s="4">
        <v>1324</v>
      </c>
      <c r="G1154" s="3" t="s">
        <v>19</v>
      </c>
      <c r="H1154">
        <v>25156</v>
      </c>
      <c r="I1154">
        <v>17113.95607</v>
      </c>
      <c r="J1154">
        <v>8042.0439349999997</v>
      </c>
      <c r="K1154" s="5">
        <f>IF(Table1[[#This Row],[Revenue]]=0, 0, Table1[[#This Row],[Profit]]/Table1[[#This Row],[Revenue]])</f>
        <v>0.31968691107489267</v>
      </c>
    </row>
    <row r="1155" spans="1:11" x14ac:dyDescent="0.35">
      <c r="A1155" s="1">
        <v>45375</v>
      </c>
      <c r="B1155" s="3" t="s">
        <v>27</v>
      </c>
      <c r="C1155" s="3" t="s">
        <v>22</v>
      </c>
      <c r="D1155" s="3" t="s">
        <v>12</v>
      </c>
      <c r="E1155" s="4">
        <v>2</v>
      </c>
      <c r="F1155" s="4">
        <v>1670</v>
      </c>
      <c r="G1155" s="3" t="s">
        <v>13</v>
      </c>
      <c r="H1155">
        <v>3340</v>
      </c>
      <c r="I1155">
        <v>2600.1984389999998</v>
      </c>
      <c r="J1155">
        <v>739.80156150000005</v>
      </c>
      <c r="K1155" s="5">
        <f>IF(Table1[[#This Row],[Revenue]]=0, 0, Table1[[#This Row],[Profit]]/Table1[[#This Row],[Revenue]])</f>
        <v>0.22149747350299404</v>
      </c>
    </row>
    <row r="1156" spans="1:11" x14ac:dyDescent="0.35">
      <c r="A1156" s="1">
        <v>45468</v>
      </c>
      <c r="B1156" s="3" t="s">
        <v>10</v>
      </c>
      <c r="C1156" s="3" t="s">
        <v>14</v>
      </c>
      <c r="D1156" s="3" t="s">
        <v>18</v>
      </c>
      <c r="E1156" s="4">
        <v>18</v>
      </c>
      <c r="F1156" s="4">
        <v>1760</v>
      </c>
      <c r="G1156" s="3" t="s">
        <v>16</v>
      </c>
      <c r="H1156">
        <v>31680</v>
      </c>
      <c r="I1156">
        <v>26199.983899999999</v>
      </c>
      <c r="J1156">
        <v>5480.0160960000003</v>
      </c>
      <c r="K1156" s="5">
        <f>IF(Table1[[#This Row],[Revenue]]=0, 0, Table1[[#This Row],[Profit]]/Table1[[#This Row],[Revenue]])</f>
        <v>0.17298030606060608</v>
      </c>
    </row>
    <row r="1157" spans="1:11" x14ac:dyDescent="0.35">
      <c r="A1157" s="1">
        <v>45439</v>
      </c>
      <c r="B1157" s="3" t="s">
        <v>10</v>
      </c>
      <c r="C1157" s="3" t="s">
        <v>22</v>
      </c>
      <c r="D1157" s="3" t="s">
        <v>15</v>
      </c>
      <c r="E1157" s="4">
        <v>6</v>
      </c>
      <c r="F1157" s="4">
        <v>493</v>
      </c>
      <c r="G1157" s="3" t="s">
        <v>13</v>
      </c>
      <c r="H1157">
        <v>2958</v>
      </c>
      <c r="I1157">
        <v>1968.4084740000001</v>
      </c>
      <c r="J1157">
        <v>989.59152610000001</v>
      </c>
      <c r="K1157" s="5">
        <f>IF(Table1[[#This Row],[Revenue]]=0, 0, Table1[[#This Row],[Profit]]/Table1[[#This Row],[Revenue]])</f>
        <v>0.33454750713319809</v>
      </c>
    </row>
    <row r="1158" spans="1:11" x14ac:dyDescent="0.35">
      <c r="A1158" s="1">
        <v>45409</v>
      </c>
      <c r="B1158" s="3" t="s">
        <v>20</v>
      </c>
      <c r="C1158" s="3" t="s">
        <v>26</v>
      </c>
      <c r="D1158" s="3" t="s">
        <v>32</v>
      </c>
      <c r="E1158" s="4">
        <v>13</v>
      </c>
      <c r="F1158" s="4">
        <v>932</v>
      </c>
      <c r="G1158" s="3" t="s">
        <v>19</v>
      </c>
      <c r="H1158">
        <v>12116</v>
      </c>
      <c r="I1158">
        <v>10170.08527</v>
      </c>
      <c r="J1158">
        <v>1945.9147290000001</v>
      </c>
      <c r="K1158" s="5">
        <f>IF(Table1[[#This Row],[Revenue]]=0, 0, Table1[[#This Row],[Profit]]/Table1[[#This Row],[Revenue]])</f>
        <v>0.16060702616375042</v>
      </c>
    </row>
    <row r="1159" spans="1:11" x14ac:dyDescent="0.35">
      <c r="A1159" s="1">
        <v>45633</v>
      </c>
      <c r="B1159" s="3" t="s">
        <v>20</v>
      </c>
      <c r="C1159" s="3" t="s">
        <v>26</v>
      </c>
      <c r="D1159" s="3" t="s">
        <v>30</v>
      </c>
      <c r="E1159" s="4">
        <v>19</v>
      </c>
      <c r="F1159" s="4">
        <v>1165</v>
      </c>
      <c r="G1159" s="3" t="s">
        <v>19</v>
      </c>
      <c r="H1159">
        <v>22135</v>
      </c>
      <c r="I1159">
        <v>14541.911330000001</v>
      </c>
      <c r="J1159">
        <v>7593.0886700000001</v>
      </c>
      <c r="K1159" s="5">
        <f>IF(Table1[[#This Row],[Revenue]]=0, 0, Table1[[#This Row],[Profit]]/Table1[[#This Row],[Revenue]])</f>
        <v>0.3430354041111362</v>
      </c>
    </row>
    <row r="1160" spans="1:11" x14ac:dyDescent="0.35">
      <c r="A1160" s="1">
        <v>45354</v>
      </c>
      <c r="B1160" s="3" t="s">
        <v>23</v>
      </c>
      <c r="C1160" s="3" t="s">
        <v>22</v>
      </c>
      <c r="D1160" s="3" t="s">
        <v>32</v>
      </c>
      <c r="E1160" s="4">
        <v>2</v>
      </c>
      <c r="F1160" s="4">
        <v>696</v>
      </c>
      <c r="G1160" s="3" t="s">
        <v>13</v>
      </c>
      <c r="H1160">
        <v>1392</v>
      </c>
      <c r="I1160">
        <v>1136.442677</v>
      </c>
      <c r="J1160">
        <v>255.557323</v>
      </c>
      <c r="K1160" s="5">
        <f>IF(Table1[[#This Row],[Revenue]]=0, 0, Table1[[#This Row],[Profit]]/Table1[[#This Row],[Revenue]])</f>
        <v>0.18359003089080458</v>
      </c>
    </row>
    <row r="1161" spans="1:11" x14ac:dyDescent="0.35">
      <c r="A1161" s="1">
        <v>45480</v>
      </c>
      <c r="B1161" s="3" t="s">
        <v>20</v>
      </c>
      <c r="C1161" s="3" t="s">
        <v>24</v>
      </c>
      <c r="D1161" s="3" t="s">
        <v>15</v>
      </c>
      <c r="E1161" s="4">
        <v>12</v>
      </c>
      <c r="F1161" s="4">
        <v>492</v>
      </c>
      <c r="G1161" s="3" t="s">
        <v>19</v>
      </c>
      <c r="H1161">
        <v>5904</v>
      </c>
      <c r="I1161">
        <v>4132.3418730000003</v>
      </c>
      <c r="J1161">
        <v>1771.6581269999999</v>
      </c>
      <c r="K1161" s="5">
        <f>IF(Table1[[#This Row],[Revenue]]=0, 0, Table1[[#This Row],[Profit]]/Table1[[#This Row],[Revenue]])</f>
        <v>0.30007759603658535</v>
      </c>
    </row>
    <row r="1162" spans="1:11" x14ac:dyDescent="0.35">
      <c r="A1162" s="1">
        <v>45651</v>
      </c>
      <c r="B1162" s="3" t="s">
        <v>27</v>
      </c>
      <c r="C1162" s="3" t="s">
        <v>11</v>
      </c>
      <c r="D1162" s="3" t="s">
        <v>21</v>
      </c>
      <c r="E1162" s="4">
        <v>15</v>
      </c>
      <c r="F1162" s="4">
        <v>799</v>
      </c>
      <c r="G1162" s="3" t="s">
        <v>13</v>
      </c>
      <c r="H1162">
        <v>11985</v>
      </c>
      <c r="I1162">
        <v>9287.6079420000005</v>
      </c>
      <c r="J1162">
        <v>2697.3920579999999</v>
      </c>
      <c r="K1162" s="5">
        <f>IF(Table1[[#This Row],[Revenue]]=0, 0, Table1[[#This Row],[Profit]]/Table1[[#This Row],[Revenue]])</f>
        <v>0.22506400150187733</v>
      </c>
    </row>
    <row r="1163" spans="1:11" x14ac:dyDescent="0.35">
      <c r="A1163" s="1">
        <v>45340</v>
      </c>
      <c r="B1163" s="3" t="s">
        <v>27</v>
      </c>
      <c r="C1163" s="3" t="s">
        <v>31</v>
      </c>
      <c r="D1163" s="3" t="s">
        <v>25</v>
      </c>
      <c r="E1163" s="4">
        <v>14</v>
      </c>
      <c r="F1163" s="4">
        <v>1746</v>
      </c>
      <c r="G1163" s="3" t="s">
        <v>19</v>
      </c>
      <c r="H1163">
        <v>24444</v>
      </c>
      <c r="I1163">
        <v>14949.91482</v>
      </c>
      <c r="J1163">
        <v>9494.0851829999992</v>
      </c>
      <c r="K1163" s="5">
        <f>IF(Table1[[#This Row],[Revenue]]=0, 0, Table1[[#This Row],[Profit]]/Table1[[#This Row],[Revenue]])</f>
        <v>0.38840145569464896</v>
      </c>
    </row>
    <row r="1164" spans="1:11" x14ac:dyDescent="0.35">
      <c r="A1164" s="1">
        <v>45618</v>
      </c>
      <c r="B1164" s="3" t="s">
        <v>23</v>
      </c>
      <c r="C1164" s="3" t="s">
        <v>11</v>
      </c>
      <c r="D1164" s="3" t="s">
        <v>18</v>
      </c>
      <c r="E1164" s="4">
        <v>6</v>
      </c>
      <c r="F1164" s="4">
        <v>1906</v>
      </c>
      <c r="G1164" s="3" t="s">
        <v>13</v>
      </c>
      <c r="H1164">
        <v>11436</v>
      </c>
      <c r="I1164">
        <v>8560.6846050000004</v>
      </c>
      <c r="J1164">
        <v>2875.3153950000001</v>
      </c>
      <c r="K1164" s="5">
        <f>IF(Table1[[#This Row],[Revenue]]=0, 0, Table1[[#This Row],[Profit]]/Table1[[#This Row],[Revenue]])</f>
        <v>0.25142666972717737</v>
      </c>
    </row>
    <row r="1165" spans="1:11" x14ac:dyDescent="0.35">
      <c r="A1165" s="1">
        <v>45548</v>
      </c>
      <c r="B1165" s="3" t="s">
        <v>10</v>
      </c>
      <c r="C1165" s="3" t="s">
        <v>31</v>
      </c>
      <c r="D1165" s="3" t="s">
        <v>15</v>
      </c>
      <c r="E1165" s="4">
        <v>18</v>
      </c>
      <c r="F1165" s="4">
        <v>540</v>
      </c>
      <c r="G1165" s="3" t="s">
        <v>19</v>
      </c>
      <c r="H1165">
        <v>9720</v>
      </c>
      <c r="I1165">
        <v>6265.5739009999998</v>
      </c>
      <c r="J1165">
        <v>3454.4260989999998</v>
      </c>
      <c r="K1165" s="5">
        <f>IF(Table1[[#This Row],[Revenue]]=0, 0, Table1[[#This Row],[Profit]]/Table1[[#This Row],[Revenue]])</f>
        <v>0.3553936315843621</v>
      </c>
    </row>
    <row r="1166" spans="1:11" x14ac:dyDescent="0.35">
      <c r="A1166" s="1">
        <v>45515</v>
      </c>
      <c r="B1166" s="3" t="s">
        <v>39</v>
      </c>
      <c r="C1166" s="3" t="s">
        <v>22</v>
      </c>
      <c r="D1166" s="3" t="s">
        <v>21</v>
      </c>
      <c r="E1166" s="4">
        <v>5</v>
      </c>
      <c r="F1166" s="4">
        <v>1960</v>
      </c>
      <c r="G1166" s="3" t="s">
        <v>13</v>
      </c>
      <c r="H1166">
        <v>9800</v>
      </c>
      <c r="I1166">
        <v>7309.7814680000001</v>
      </c>
      <c r="J1166">
        <v>2490.2185319999999</v>
      </c>
      <c r="K1166" s="5">
        <f>IF(Table1[[#This Row],[Revenue]]=0, 0, Table1[[#This Row],[Profit]]/Table1[[#This Row],[Revenue]])</f>
        <v>0.25410393183673469</v>
      </c>
    </row>
    <row r="1167" spans="1:11" x14ac:dyDescent="0.35">
      <c r="A1167" s="1">
        <v>45432</v>
      </c>
      <c r="B1167" s="3" t="s">
        <v>20</v>
      </c>
      <c r="C1167" s="3" t="s">
        <v>26</v>
      </c>
      <c r="D1167" s="3" t="s">
        <v>32</v>
      </c>
      <c r="E1167" s="4">
        <v>18</v>
      </c>
      <c r="F1167" s="4">
        <v>1740</v>
      </c>
      <c r="G1167" s="3" t="s">
        <v>19</v>
      </c>
      <c r="H1167">
        <v>31320</v>
      </c>
      <c r="I1167">
        <v>20120.21039</v>
      </c>
      <c r="J1167">
        <v>11199.78961</v>
      </c>
      <c r="K1167" s="5">
        <f>IF(Table1[[#This Row],[Revenue]]=0, 0, Table1[[#This Row],[Profit]]/Table1[[#This Row],[Revenue]])</f>
        <v>0.35759226085568324</v>
      </c>
    </row>
    <row r="1168" spans="1:11" x14ac:dyDescent="0.35">
      <c r="A1168" s="1">
        <v>45506</v>
      </c>
      <c r="B1168" s="3" t="s">
        <v>27</v>
      </c>
      <c r="C1168" s="3" t="s">
        <v>24</v>
      </c>
      <c r="D1168" s="3" t="s">
        <v>32</v>
      </c>
      <c r="E1168" s="4">
        <v>3</v>
      </c>
      <c r="F1168" s="4">
        <v>1629</v>
      </c>
      <c r="G1168" s="3" t="s">
        <v>19</v>
      </c>
      <c r="H1168">
        <v>4887</v>
      </c>
      <c r="I1168">
        <v>3573.0163590000002</v>
      </c>
      <c r="J1168">
        <v>1313.983641</v>
      </c>
      <c r="K1168" s="5">
        <f>IF(Table1[[#This Row],[Revenue]]=0, 0, Table1[[#This Row],[Profit]]/Table1[[#This Row],[Revenue]])</f>
        <v>0.26887326396562311</v>
      </c>
    </row>
    <row r="1169" spans="1:11" x14ac:dyDescent="0.35">
      <c r="A1169" s="1">
        <v>45502</v>
      </c>
      <c r="B1169" s="3" t="s">
        <v>10</v>
      </c>
      <c r="C1169" s="3" t="s">
        <v>26</v>
      </c>
      <c r="D1169" s="3" t="s">
        <v>15</v>
      </c>
      <c r="E1169" s="4">
        <v>3</v>
      </c>
      <c r="F1169" s="4">
        <v>1017</v>
      </c>
      <c r="G1169" s="3" t="s">
        <v>19</v>
      </c>
      <c r="H1169">
        <v>3051</v>
      </c>
      <c r="I1169">
        <v>1931.8512370000001</v>
      </c>
      <c r="J1169">
        <v>1119.1487629999999</v>
      </c>
      <c r="K1169" s="5">
        <f>IF(Table1[[#This Row],[Revenue]]=0, 0, Table1[[#This Row],[Profit]]/Table1[[#This Row],[Revenue]])</f>
        <v>0.3668137538511963</v>
      </c>
    </row>
    <row r="1170" spans="1:11" x14ac:dyDescent="0.35">
      <c r="A1170" s="1">
        <v>45609</v>
      </c>
      <c r="B1170" s="3" t="s">
        <v>23</v>
      </c>
      <c r="C1170" s="3" t="s">
        <v>11</v>
      </c>
      <c r="D1170" s="3" t="s">
        <v>30</v>
      </c>
      <c r="E1170" s="4">
        <v>10</v>
      </c>
      <c r="F1170" s="4">
        <v>419</v>
      </c>
      <c r="G1170" s="3" t="s">
        <v>13</v>
      </c>
      <c r="H1170">
        <v>4190</v>
      </c>
      <c r="I1170">
        <v>2790.4790579999999</v>
      </c>
      <c r="J1170">
        <v>1399.5209420000001</v>
      </c>
      <c r="K1170" s="5">
        <f>IF(Table1[[#This Row],[Revenue]]=0, 0, Table1[[#This Row],[Profit]]/Table1[[#This Row],[Revenue]])</f>
        <v>0.33401454463007163</v>
      </c>
    </row>
    <row r="1171" spans="1:11" x14ac:dyDescent="0.35">
      <c r="A1171" s="1">
        <v>45323</v>
      </c>
      <c r="B1171" s="3" t="s">
        <v>23</v>
      </c>
      <c r="C1171" s="3" t="s">
        <v>26</v>
      </c>
      <c r="D1171" s="3" t="s">
        <v>32</v>
      </c>
      <c r="E1171" s="4">
        <v>19</v>
      </c>
      <c r="F1171" s="4">
        <v>652</v>
      </c>
      <c r="G1171" s="3" t="s">
        <v>19</v>
      </c>
      <c r="H1171">
        <v>12388</v>
      </c>
      <c r="I1171">
        <v>9644.3513559999992</v>
      </c>
      <c r="J1171">
        <v>2743.6486439999999</v>
      </c>
      <c r="K1171" s="5">
        <f>IF(Table1[[#This Row],[Revenue]]=0, 0, Table1[[#This Row],[Profit]]/Table1[[#This Row],[Revenue]])</f>
        <v>0.22147631934129802</v>
      </c>
    </row>
    <row r="1172" spans="1:11" x14ac:dyDescent="0.35">
      <c r="A1172" s="1">
        <v>45449</v>
      </c>
      <c r="B1172" s="3" t="s">
        <v>27</v>
      </c>
      <c r="C1172" s="3" t="s">
        <v>22</v>
      </c>
      <c r="D1172" s="3" t="s">
        <v>30</v>
      </c>
      <c r="E1172" s="4">
        <v>3</v>
      </c>
      <c r="F1172" s="4">
        <v>1338</v>
      </c>
      <c r="G1172" s="3" t="s">
        <v>13</v>
      </c>
      <c r="H1172">
        <v>4014</v>
      </c>
      <c r="I1172">
        <v>3584.4947390000002</v>
      </c>
      <c r="J1172">
        <v>429.50526070000001</v>
      </c>
      <c r="K1172" s="5">
        <f>IF(Table1[[#This Row],[Revenue]]=0, 0, Table1[[#This Row],[Profit]]/Table1[[#This Row],[Revenue]])</f>
        <v>0.10700180884404584</v>
      </c>
    </row>
    <row r="1173" spans="1:11" x14ac:dyDescent="0.35">
      <c r="A1173" s="1">
        <v>45576</v>
      </c>
      <c r="B1173" s="3" t="s">
        <v>23</v>
      </c>
      <c r="C1173" s="3" t="s">
        <v>24</v>
      </c>
      <c r="D1173" s="3" t="s">
        <v>30</v>
      </c>
      <c r="E1173" s="4">
        <v>12</v>
      </c>
      <c r="F1173" s="4">
        <v>1194</v>
      </c>
      <c r="G1173" s="3" t="s">
        <v>19</v>
      </c>
      <c r="H1173">
        <v>14328</v>
      </c>
      <c r="I1173">
        <v>10527.57581</v>
      </c>
      <c r="J1173">
        <v>3800.4241919999999</v>
      </c>
      <c r="K1173" s="5">
        <f>IF(Table1[[#This Row],[Revenue]]=0, 0, Table1[[#This Row],[Profit]]/Table1[[#This Row],[Revenue]])</f>
        <v>0.26524456951423786</v>
      </c>
    </row>
    <row r="1174" spans="1:11" x14ac:dyDescent="0.35">
      <c r="A1174" s="1">
        <v>45596</v>
      </c>
      <c r="B1174" s="3" t="s">
        <v>23</v>
      </c>
      <c r="C1174" s="3" t="s">
        <v>11</v>
      </c>
      <c r="D1174" s="3" t="s">
        <v>25</v>
      </c>
      <c r="E1174" s="4">
        <v>16</v>
      </c>
      <c r="F1174" s="4">
        <v>667</v>
      </c>
      <c r="G1174" s="3" t="s">
        <v>13</v>
      </c>
      <c r="H1174">
        <v>10672</v>
      </c>
      <c r="I1174">
        <v>8603.2552940000005</v>
      </c>
      <c r="J1174">
        <v>2068.744706</v>
      </c>
      <c r="K1174" s="5">
        <f>IF(Table1[[#This Row],[Revenue]]=0, 0, Table1[[#This Row],[Profit]]/Table1[[#This Row],[Revenue]])</f>
        <v>0.1938478922413793</v>
      </c>
    </row>
    <row r="1175" spans="1:11" x14ac:dyDescent="0.35">
      <c r="A1175" s="1">
        <v>45577</v>
      </c>
      <c r="B1175" s="3" t="s">
        <v>27</v>
      </c>
      <c r="C1175" s="3" t="s">
        <v>24</v>
      </c>
      <c r="D1175" s="3" t="s">
        <v>30</v>
      </c>
      <c r="E1175" s="4">
        <v>17</v>
      </c>
      <c r="F1175" s="4">
        <v>1018</v>
      </c>
      <c r="G1175" s="3" t="s">
        <v>19</v>
      </c>
      <c r="H1175">
        <v>17306</v>
      </c>
      <c r="I1175">
        <v>13184.185009999999</v>
      </c>
      <c r="J1175">
        <v>4121.814993</v>
      </c>
      <c r="K1175" s="5">
        <f>IF(Table1[[#This Row],[Revenue]]=0, 0, Table1[[#This Row],[Profit]]/Table1[[#This Row],[Revenue]])</f>
        <v>0.23817259869409454</v>
      </c>
    </row>
    <row r="1176" spans="1:11" x14ac:dyDescent="0.35">
      <c r="A1176" s="1">
        <v>45435</v>
      </c>
      <c r="B1176" s="3" t="s">
        <v>20</v>
      </c>
      <c r="C1176" s="3" t="s">
        <v>14</v>
      </c>
      <c r="D1176" s="3" t="s">
        <v>29</v>
      </c>
      <c r="E1176" s="4">
        <v>7</v>
      </c>
      <c r="F1176" s="4">
        <v>335</v>
      </c>
      <c r="G1176" s="3" t="s">
        <v>16</v>
      </c>
      <c r="H1176">
        <v>2345</v>
      </c>
      <c r="I1176">
        <v>1757.5948069999999</v>
      </c>
      <c r="J1176">
        <v>587.40519319999999</v>
      </c>
      <c r="K1176" s="5">
        <f>IF(Table1[[#This Row],[Revenue]]=0, 0, Table1[[#This Row],[Profit]]/Table1[[#This Row],[Revenue]])</f>
        <v>0.25049261970149256</v>
      </c>
    </row>
    <row r="1177" spans="1:11" x14ac:dyDescent="0.35">
      <c r="A1177" s="1">
        <v>45310</v>
      </c>
      <c r="B1177" s="3" t="s">
        <v>20</v>
      </c>
      <c r="C1177" s="3" t="s">
        <v>31</v>
      </c>
      <c r="D1177" s="3" t="s">
        <v>25</v>
      </c>
      <c r="E1177" s="4">
        <v>13</v>
      </c>
      <c r="F1177" s="4">
        <v>1404</v>
      </c>
      <c r="G1177" s="3" t="s">
        <v>19</v>
      </c>
      <c r="H1177">
        <v>18252</v>
      </c>
      <c r="I1177">
        <v>11305.4943</v>
      </c>
      <c r="J1177">
        <v>6946.5056999999997</v>
      </c>
      <c r="K1177" s="5">
        <f>IF(Table1[[#This Row],[Revenue]]=0, 0, Table1[[#This Row],[Profit]]/Table1[[#This Row],[Revenue]])</f>
        <v>0.38058874095989481</v>
      </c>
    </row>
    <row r="1178" spans="1:11" x14ac:dyDescent="0.35">
      <c r="A1178" s="1">
        <v>45309</v>
      </c>
      <c r="B1178" s="3" t="s">
        <v>23</v>
      </c>
      <c r="C1178" s="3" t="s">
        <v>26</v>
      </c>
      <c r="D1178" s="3" t="s">
        <v>21</v>
      </c>
      <c r="E1178" s="4">
        <v>2</v>
      </c>
      <c r="F1178" s="4">
        <v>1086</v>
      </c>
      <c r="G1178" s="3" t="s">
        <v>19</v>
      </c>
      <c r="H1178">
        <v>2172</v>
      </c>
      <c r="I1178">
        <v>1397.224187</v>
      </c>
      <c r="J1178">
        <v>774.77581269999996</v>
      </c>
      <c r="K1178" s="5">
        <f>IF(Table1[[#This Row],[Revenue]]=0, 0, Table1[[#This Row],[Profit]]/Table1[[#This Row],[Revenue]])</f>
        <v>0.35671077932780848</v>
      </c>
    </row>
    <row r="1179" spans="1:11" x14ac:dyDescent="0.35">
      <c r="A1179" s="1">
        <v>45548</v>
      </c>
      <c r="B1179" s="3" t="s">
        <v>20</v>
      </c>
      <c r="C1179" s="3" t="s">
        <v>24</v>
      </c>
      <c r="D1179" s="3" t="s">
        <v>21</v>
      </c>
      <c r="E1179" s="4">
        <v>4</v>
      </c>
      <c r="F1179" s="4">
        <v>1740</v>
      </c>
      <c r="G1179" s="3" t="s">
        <v>19</v>
      </c>
      <c r="H1179">
        <v>6960</v>
      </c>
      <c r="I1179">
        <v>6019.8245390000002</v>
      </c>
      <c r="J1179">
        <v>940.17546140000002</v>
      </c>
      <c r="K1179" s="5">
        <f>IF(Table1[[#This Row],[Revenue]]=0, 0, Table1[[#This Row],[Profit]]/Table1[[#This Row],[Revenue]])</f>
        <v>0.13508268123563219</v>
      </c>
    </row>
    <row r="1180" spans="1:11" x14ac:dyDescent="0.35">
      <c r="A1180" s="1">
        <v>45369</v>
      </c>
      <c r="B1180" s="3" t="s">
        <v>20</v>
      </c>
      <c r="C1180" s="3" t="s">
        <v>17</v>
      </c>
      <c r="D1180" s="3" t="s">
        <v>32</v>
      </c>
      <c r="E1180" s="4">
        <v>10</v>
      </c>
      <c r="F1180" s="4">
        <v>1285</v>
      </c>
      <c r="G1180" s="3" t="s">
        <v>19</v>
      </c>
      <c r="H1180">
        <v>12850</v>
      </c>
      <c r="I1180">
        <v>9291.1834340000005</v>
      </c>
      <c r="J1180">
        <v>3558.816566</v>
      </c>
      <c r="K1180" s="5">
        <f>IF(Table1[[#This Row],[Revenue]]=0, 0, Table1[[#This Row],[Profit]]/Table1[[#This Row],[Revenue]])</f>
        <v>0.27695070552529183</v>
      </c>
    </row>
    <row r="1181" spans="1:11" x14ac:dyDescent="0.35">
      <c r="A1181" s="1">
        <v>45466</v>
      </c>
      <c r="B1181" s="3" t="s">
        <v>23</v>
      </c>
      <c r="C1181" s="3" t="s">
        <v>14</v>
      </c>
      <c r="D1181" s="3" t="s">
        <v>32</v>
      </c>
      <c r="E1181" s="4">
        <v>7</v>
      </c>
      <c r="F1181" s="4">
        <v>1314</v>
      </c>
      <c r="G1181" s="3" t="s">
        <v>16</v>
      </c>
      <c r="H1181">
        <v>9198</v>
      </c>
      <c r="I1181">
        <v>7213.9890359999999</v>
      </c>
      <c r="J1181">
        <v>1984.0109640000001</v>
      </c>
      <c r="K1181" s="5">
        <f>IF(Table1[[#This Row],[Revenue]]=0, 0, Table1[[#This Row],[Profit]]/Table1[[#This Row],[Revenue]])</f>
        <v>0.21570025701239401</v>
      </c>
    </row>
    <row r="1182" spans="1:11" x14ac:dyDescent="0.35">
      <c r="A1182" s="1">
        <v>45485</v>
      </c>
      <c r="B1182" s="3" t="s">
        <v>20</v>
      </c>
      <c r="C1182" s="3" t="s">
        <v>26</v>
      </c>
      <c r="D1182" s="3" t="s">
        <v>30</v>
      </c>
      <c r="E1182" s="4">
        <v>17</v>
      </c>
      <c r="F1182" s="4">
        <v>1132</v>
      </c>
      <c r="G1182" s="3" t="s">
        <v>19</v>
      </c>
      <c r="H1182">
        <v>19244</v>
      </c>
      <c r="I1182">
        <v>14595.9961</v>
      </c>
      <c r="J1182">
        <v>4648.003901</v>
      </c>
      <c r="K1182" s="5">
        <f>IF(Table1[[#This Row],[Revenue]]=0, 0, Table1[[#This Row],[Profit]]/Table1[[#This Row],[Revenue]])</f>
        <v>0.24153003019122843</v>
      </c>
    </row>
    <row r="1183" spans="1:11" x14ac:dyDescent="0.35">
      <c r="A1183" s="1">
        <v>45404</v>
      </c>
      <c r="B1183" s="3" t="s">
        <v>23</v>
      </c>
      <c r="C1183" s="3" t="s">
        <v>31</v>
      </c>
      <c r="D1183" s="3" t="s">
        <v>25</v>
      </c>
      <c r="E1183" s="4">
        <v>6</v>
      </c>
      <c r="F1183" s="4">
        <v>159</v>
      </c>
      <c r="G1183" s="3" t="s">
        <v>19</v>
      </c>
      <c r="H1183">
        <v>954</v>
      </c>
      <c r="I1183">
        <v>680.83613700000001</v>
      </c>
      <c r="J1183">
        <v>273.16386299999999</v>
      </c>
      <c r="K1183" s="5">
        <f>IF(Table1[[#This Row],[Revenue]]=0, 0, Table1[[#This Row],[Profit]]/Table1[[#This Row],[Revenue]])</f>
        <v>0.286335286163522</v>
      </c>
    </row>
    <row r="1184" spans="1:11" x14ac:dyDescent="0.35">
      <c r="A1184" s="1">
        <v>45405</v>
      </c>
      <c r="B1184" s="3" t="s">
        <v>10</v>
      </c>
      <c r="C1184" s="3" t="s">
        <v>24</v>
      </c>
      <c r="D1184" s="3" t="s">
        <v>25</v>
      </c>
      <c r="E1184" s="4">
        <v>19</v>
      </c>
      <c r="F1184" s="4">
        <v>992</v>
      </c>
      <c r="G1184" s="3" t="s">
        <v>19</v>
      </c>
      <c r="H1184">
        <v>18848</v>
      </c>
      <c r="I1184">
        <v>13501.66986</v>
      </c>
      <c r="J1184">
        <v>5346.3301410000004</v>
      </c>
      <c r="K1184" s="5">
        <f>IF(Table1[[#This Row],[Revenue]]=0, 0, Table1[[#This Row],[Profit]]/Table1[[#This Row],[Revenue]])</f>
        <v>0.28365503719227508</v>
      </c>
    </row>
    <row r="1185" spans="1:11" x14ac:dyDescent="0.35">
      <c r="A1185" s="1">
        <v>45513</v>
      </c>
      <c r="B1185" s="3" t="s">
        <v>27</v>
      </c>
      <c r="C1185" s="3" t="s">
        <v>11</v>
      </c>
      <c r="D1185" s="3" t="s">
        <v>29</v>
      </c>
      <c r="E1185" s="4">
        <v>5</v>
      </c>
      <c r="F1185" s="4">
        <v>1940</v>
      </c>
      <c r="G1185" s="3" t="s">
        <v>13</v>
      </c>
      <c r="H1185">
        <v>9700</v>
      </c>
      <c r="I1185">
        <v>7436.4031670000004</v>
      </c>
      <c r="J1185">
        <v>2263.5968330000001</v>
      </c>
      <c r="K1185" s="5">
        <f>IF(Table1[[#This Row],[Revenue]]=0, 0, Table1[[#This Row],[Profit]]/Table1[[#This Row],[Revenue]])</f>
        <v>0.23336049824742269</v>
      </c>
    </row>
    <row r="1186" spans="1:11" x14ac:dyDescent="0.35">
      <c r="A1186" s="1">
        <v>45457</v>
      </c>
      <c r="B1186" s="3" t="s">
        <v>27</v>
      </c>
      <c r="C1186" s="3" t="s">
        <v>31</v>
      </c>
      <c r="D1186" s="3" t="s">
        <v>30</v>
      </c>
      <c r="E1186" s="4">
        <v>10</v>
      </c>
      <c r="F1186" s="4">
        <v>324</v>
      </c>
      <c r="G1186" s="3" t="s">
        <v>19</v>
      </c>
      <c r="H1186">
        <v>3240</v>
      </c>
      <c r="I1186">
        <v>2081.1898310000001</v>
      </c>
      <c r="J1186">
        <v>1158.8101690000001</v>
      </c>
      <c r="K1186" s="5">
        <f>IF(Table1[[#This Row],[Revenue]]=0, 0, Table1[[#This Row],[Profit]]/Table1[[#This Row],[Revenue]])</f>
        <v>0.35765745956790124</v>
      </c>
    </row>
    <row r="1187" spans="1:11" x14ac:dyDescent="0.35">
      <c r="A1187" s="1">
        <v>45610</v>
      </c>
      <c r="B1187" s="3" t="s">
        <v>20</v>
      </c>
      <c r="C1187" s="3" t="s">
        <v>17</v>
      </c>
      <c r="D1187" s="3" t="s">
        <v>29</v>
      </c>
      <c r="E1187" s="4">
        <v>9</v>
      </c>
      <c r="F1187" s="4">
        <v>1942</v>
      </c>
      <c r="G1187" s="3" t="s">
        <v>19</v>
      </c>
      <c r="H1187">
        <v>17478</v>
      </c>
      <c r="I1187">
        <v>12517.35405</v>
      </c>
      <c r="J1187">
        <v>4960.6459480000003</v>
      </c>
      <c r="K1187" s="5">
        <f>IF(Table1[[#This Row],[Revenue]]=0, 0, Table1[[#This Row],[Profit]]/Table1[[#This Row],[Revenue]])</f>
        <v>0.28382228790479463</v>
      </c>
    </row>
    <row r="1188" spans="1:11" x14ac:dyDescent="0.35">
      <c r="A1188" s="1">
        <v>45423</v>
      </c>
      <c r="B1188" s="3" t="s">
        <v>20</v>
      </c>
      <c r="C1188" s="3" t="s">
        <v>24</v>
      </c>
      <c r="D1188" s="3" t="s">
        <v>12</v>
      </c>
      <c r="E1188" s="4">
        <v>13</v>
      </c>
      <c r="F1188" s="4">
        <v>799</v>
      </c>
      <c r="G1188" s="3" t="s">
        <v>19</v>
      </c>
      <c r="H1188">
        <v>10387</v>
      </c>
      <c r="I1188">
        <v>7625.0205720000004</v>
      </c>
      <c r="J1188">
        <v>2761.9794280000001</v>
      </c>
      <c r="K1188" s="5">
        <f>IF(Table1[[#This Row],[Revenue]]=0, 0, Table1[[#This Row],[Profit]]/Table1[[#This Row],[Revenue]])</f>
        <v>0.26590732916145182</v>
      </c>
    </row>
    <row r="1189" spans="1:11" x14ac:dyDescent="0.35">
      <c r="A1189" s="1">
        <v>45555</v>
      </c>
      <c r="B1189" s="3" t="s">
        <v>20</v>
      </c>
      <c r="C1189" s="3" t="s">
        <v>28</v>
      </c>
      <c r="D1189" s="3" t="s">
        <v>30</v>
      </c>
      <c r="E1189" s="4">
        <v>19</v>
      </c>
      <c r="F1189" s="4">
        <v>681</v>
      </c>
      <c r="G1189" s="3" t="s">
        <v>16</v>
      </c>
      <c r="H1189">
        <v>12939</v>
      </c>
      <c r="I1189">
        <v>11587.364460000001</v>
      </c>
      <c r="J1189">
        <v>1351.635538</v>
      </c>
      <c r="K1189" s="5">
        <f>IF(Table1[[#This Row],[Revenue]]=0, 0, Table1[[#This Row],[Profit]]/Table1[[#This Row],[Revenue]])</f>
        <v>0.10446213293144756</v>
      </c>
    </row>
    <row r="1190" spans="1:11" x14ac:dyDescent="0.35">
      <c r="A1190" s="1">
        <v>45346</v>
      </c>
      <c r="B1190" s="3" t="s">
        <v>27</v>
      </c>
      <c r="C1190" s="3" t="s">
        <v>28</v>
      </c>
      <c r="D1190" s="3" t="s">
        <v>18</v>
      </c>
      <c r="E1190" s="4">
        <v>6</v>
      </c>
      <c r="F1190" s="4">
        <v>1928</v>
      </c>
      <c r="G1190" s="3" t="s">
        <v>16</v>
      </c>
      <c r="H1190">
        <v>11568</v>
      </c>
      <c r="I1190">
        <v>8160.4886310000002</v>
      </c>
      <c r="J1190">
        <v>3407.5113689999998</v>
      </c>
      <c r="K1190" s="5">
        <f>IF(Table1[[#This Row],[Revenue]]=0, 0, Table1[[#This Row],[Profit]]/Table1[[#This Row],[Revenue]])</f>
        <v>0.29456356924273858</v>
      </c>
    </row>
    <row r="1191" spans="1:11" x14ac:dyDescent="0.35">
      <c r="A1191" s="1">
        <v>45650</v>
      </c>
      <c r="B1191" s="3" t="s">
        <v>10</v>
      </c>
      <c r="C1191" s="3" t="s">
        <v>22</v>
      </c>
      <c r="D1191" s="3" t="s">
        <v>18</v>
      </c>
      <c r="E1191" s="4">
        <v>4</v>
      </c>
      <c r="F1191" s="4">
        <v>1410</v>
      </c>
      <c r="G1191" s="3" t="s">
        <v>13</v>
      </c>
      <c r="H1191">
        <v>5640</v>
      </c>
      <c r="I1191">
        <v>4474.6274919999996</v>
      </c>
      <c r="J1191">
        <v>1165.3725079999999</v>
      </c>
      <c r="K1191" s="5">
        <f>IF(Table1[[#This Row],[Revenue]]=0, 0, Table1[[#This Row],[Profit]]/Table1[[#This Row],[Revenue]])</f>
        <v>0.20662633120567375</v>
      </c>
    </row>
    <row r="1192" spans="1:11" x14ac:dyDescent="0.35">
      <c r="A1192" s="1">
        <v>45422</v>
      </c>
      <c r="B1192" s="3" t="s">
        <v>10</v>
      </c>
      <c r="C1192" s="3" t="s">
        <v>26</v>
      </c>
      <c r="D1192" s="3" t="s">
        <v>15</v>
      </c>
      <c r="E1192" s="4">
        <v>-1</v>
      </c>
      <c r="F1192" s="4">
        <v>1093</v>
      </c>
      <c r="G1192" s="3" t="s">
        <v>19</v>
      </c>
      <c r="H1192">
        <v>-1093</v>
      </c>
      <c r="I1192">
        <v>-700.85854240000003</v>
      </c>
      <c r="J1192">
        <v>-392.14145760000002</v>
      </c>
      <c r="K1192" s="5">
        <f>IF(Table1[[#This Row],[Revenue]]=0, 0, Table1[[#This Row],[Profit]]/Table1[[#This Row],[Revenue]])</f>
        <v>0.35877535004574568</v>
      </c>
    </row>
    <row r="1193" spans="1:11" x14ac:dyDescent="0.35">
      <c r="A1193" s="1">
        <v>45579</v>
      </c>
      <c r="B1193" s="3" t="s">
        <v>27</v>
      </c>
      <c r="C1193" s="3" t="s">
        <v>11</v>
      </c>
      <c r="D1193" s="3" t="s">
        <v>30</v>
      </c>
      <c r="E1193" s="4">
        <v>3</v>
      </c>
      <c r="F1193" s="4">
        <v>268</v>
      </c>
      <c r="G1193" s="3" t="s">
        <v>13</v>
      </c>
      <c r="H1193">
        <v>804</v>
      </c>
      <c r="I1193">
        <v>498.19410929999998</v>
      </c>
      <c r="J1193">
        <v>305.80589070000002</v>
      </c>
      <c r="K1193" s="5">
        <f>IF(Table1[[#This Row],[Revenue]]=0, 0, Table1[[#This Row],[Profit]]/Table1[[#This Row],[Revenue]])</f>
        <v>0.38035558544776121</v>
      </c>
    </row>
    <row r="1194" spans="1:11" x14ac:dyDescent="0.35">
      <c r="A1194" s="1">
        <v>45557</v>
      </c>
      <c r="B1194" s="3" t="s">
        <v>10</v>
      </c>
      <c r="C1194" s="3" t="s">
        <v>22</v>
      </c>
      <c r="D1194" s="3" t="s">
        <v>25</v>
      </c>
      <c r="E1194" s="4">
        <v>4</v>
      </c>
      <c r="F1194" s="4">
        <v>1185</v>
      </c>
      <c r="G1194" s="3" t="s">
        <v>13</v>
      </c>
      <c r="H1194">
        <v>4740</v>
      </c>
      <c r="I1194">
        <v>4083.3327439999998</v>
      </c>
      <c r="J1194">
        <v>656.66725610000003</v>
      </c>
      <c r="K1194" s="5">
        <f>IF(Table1[[#This Row],[Revenue]]=0, 0, Table1[[#This Row],[Profit]]/Table1[[#This Row],[Revenue]])</f>
        <v>0.13853739580168778</v>
      </c>
    </row>
    <row r="1195" spans="1:11" x14ac:dyDescent="0.35">
      <c r="A1195" s="1">
        <v>45657</v>
      </c>
      <c r="B1195" s="3" t="s">
        <v>27</v>
      </c>
      <c r="C1195" s="3" t="s">
        <v>24</v>
      </c>
      <c r="D1195" s="3" t="s">
        <v>32</v>
      </c>
      <c r="E1195" s="4">
        <v>5</v>
      </c>
      <c r="F1195" s="4">
        <v>1472</v>
      </c>
      <c r="G1195" s="3" t="s">
        <v>19</v>
      </c>
      <c r="H1195">
        <v>7360</v>
      </c>
      <c r="I1195">
        <v>6029.462665</v>
      </c>
      <c r="J1195">
        <v>1330.537335</v>
      </c>
      <c r="K1195" s="5">
        <f>IF(Table1[[#This Row],[Revenue]]=0, 0, Table1[[#This Row],[Profit]]/Table1[[#This Row],[Revenue]])</f>
        <v>0.18077952921195653</v>
      </c>
    </row>
    <row r="1196" spans="1:11" x14ac:dyDescent="0.35">
      <c r="A1196" s="1">
        <v>45453</v>
      </c>
      <c r="B1196" s="3" t="s">
        <v>10</v>
      </c>
      <c r="C1196" s="3" t="s">
        <v>28</v>
      </c>
      <c r="D1196" s="3" t="s">
        <v>21</v>
      </c>
      <c r="E1196" s="4">
        <v>8</v>
      </c>
      <c r="F1196" s="4">
        <v>1565</v>
      </c>
      <c r="G1196" s="3" t="s">
        <v>16</v>
      </c>
      <c r="H1196">
        <v>12520</v>
      </c>
      <c r="I1196">
        <v>8704.5273240000006</v>
      </c>
      <c r="J1196">
        <v>3815.4726759999999</v>
      </c>
      <c r="K1196" s="5">
        <f>IF(Table1[[#This Row],[Revenue]]=0, 0, Table1[[#This Row],[Profit]]/Table1[[#This Row],[Revenue]])</f>
        <v>0.30475021373801914</v>
      </c>
    </row>
    <row r="1197" spans="1:11" x14ac:dyDescent="0.35">
      <c r="A1197" s="1">
        <v>45378</v>
      </c>
      <c r="B1197" s="3" t="s">
        <v>23</v>
      </c>
      <c r="C1197" s="3" t="s">
        <v>28</v>
      </c>
      <c r="D1197" s="3" t="s">
        <v>15</v>
      </c>
      <c r="E1197" s="4">
        <v>16</v>
      </c>
      <c r="F1197" s="4">
        <v>113</v>
      </c>
      <c r="G1197" s="3" t="s">
        <v>16</v>
      </c>
      <c r="H1197">
        <v>1808</v>
      </c>
      <c r="I1197">
        <v>1358.483109</v>
      </c>
      <c r="J1197">
        <v>449.51689119999998</v>
      </c>
      <c r="K1197" s="5">
        <f>IF(Table1[[#This Row],[Revenue]]=0, 0, Table1[[#This Row],[Profit]]/Table1[[#This Row],[Revenue]])</f>
        <v>0.24862659911504423</v>
      </c>
    </row>
    <row r="1198" spans="1:11" x14ac:dyDescent="0.35">
      <c r="A1198" s="1">
        <v>45346</v>
      </c>
      <c r="B1198" s="3" t="s">
        <v>23</v>
      </c>
      <c r="C1198" s="3" t="s">
        <v>28</v>
      </c>
      <c r="D1198" s="3" t="s">
        <v>32</v>
      </c>
      <c r="E1198" s="4">
        <v>3</v>
      </c>
      <c r="F1198" s="4">
        <v>263</v>
      </c>
      <c r="G1198" s="3" t="s">
        <v>16</v>
      </c>
      <c r="H1198">
        <v>789</v>
      </c>
      <c r="I1198">
        <v>505.53064849999998</v>
      </c>
      <c r="J1198">
        <v>283.46935150000002</v>
      </c>
      <c r="K1198" s="5">
        <f>IF(Table1[[#This Row],[Revenue]]=0, 0, Table1[[#This Row],[Profit]]/Table1[[#This Row],[Revenue]])</f>
        <v>0.35927674461343473</v>
      </c>
    </row>
    <row r="1199" spans="1:11" x14ac:dyDescent="0.35">
      <c r="A1199" s="1">
        <v>45579</v>
      </c>
      <c r="B1199" s="3" t="s">
        <v>27</v>
      </c>
      <c r="C1199" s="3" t="s">
        <v>24</v>
      </c>
      <c r="D1199" s="3" t="s">
        <v>18</v>
      </c>
      <c r="E1199" s="4">
        <v>12</v>
      </c>
      <c r="F1199" s="4">
        <v>1543</v>
      </c>
      <c r="G1199" s="3" t="s">
        <v>19</v>
      </c>
      <c r="H1199">
        <v>18516</v>
      </c>
      <c r="I1199">
        <v>15037.734</v>
      </c>
      <c r="J1199">
        <v>3478.2659990000002</v>
      </c>
      <c r="K1199" s="5">
        <f>IF(Table1[[#This Row],[Revenue]]=0, 0, Table1[[#This Row],[Profit]]/Table1[[#This Row],[Revenue]])</f>
        <v>0.18785191180600563</v>
      </c>
    </row>
    <row r="1200" spans="1:11" x14ac:dyDescent="0.35">
      <c r="A1200" s="1">
        <v>45469</v>
      </c>
      <c r="B1200" s="3" t="s">
        <v>10</v>
      </c>
      <c r="C1200" s="3" t="s">
        <v>28</v>
      </c>
      <c r="D1200" s="3" t="s">
        <v>30</v>
      </c>
      <c r="E1200" s="4">
        <v>8</v>
      </c>
      <c r="F1200" s="4">
        <v>856</v>
      </c>
      <c r="G1200" s="3" t="s">
        <v>16</v>
      </c>
      <c r="H1200">
        <v>6848</v>
      </c>
      <c r="I1200">
        <v>4253.2871679999998</v>
      </c>
      <c r="J1200">
        <v>2594.7128320000002</v>
      </c>
      <c r="K1200" s="5">
        <f>IF(Table1[[#This Row],[Revenue]]=0, 0, Table1[[#This Row],[Profit]]/Table1[[#This Row],[Revenue]])</f>
        <v>0.37890082242990658</v>
      </c>
    </row>
    <row r="1201" spans="1:11" x14ac:dyDescent="0.35">
      <c r="A1201" s="1">
        <v>45640</v>
      </c>
      <c r="B1201" s="3" t="s">
        <v>20</v>
      </c>
      <c r="C1201" s="3" t="s">
        <v>31</v>
      </c>
      <c r="D1201" s="3" t="s">
        <v>15</v>
      </c>
      <c r="E1201" s="4">
        <v>13</v>
      </c>
      <c r="F1201" s="4">
        <v>1970</v>
      </c>
      <c r="G1201" s="3" t="s">
        <v>19</v>
      </c>
      <c r="H1201">
        <v>25610</v>
      </c>
      <c r="I1201">
        <v>21182.28498</v>
      </c>
      <c r="J1201">
        <v>4427.7150240000001</v>
      </c>
      <c r="K1201" s="5">
        <f>IF(Table1[[#This Row],[Revenue]]=0, 0, Table1[[#This Row],[Profit]]/Table1[[#This Row],[Revenue]])</f>
        <v>0.172890082936353</v>
      </c>
    </row>
    <row r="1202" spans="1:11" x14ac:dyDescent="0.35">
      <c r="A1202" s="1">
        <v>45299</v>
      </c>
      <c r="B1202" s="3" t="s">
        <v>10</v>
      </c>
      <c r="C1202" s="3" t="s">
        <v>14</v>
      </c>
      <c r="D1202" s="3" t="s">
        <v>30</v>
      </c>
      <c r="E1202" s="4">
        <v>4</v>
      </c>
      <c r="F1202" s="4">
        <v>1643</v>
      </c>
      <c r="G1202" s="3" t="s">
        <v>16</v>
      </c>
      <c r="H1202">
        <v>6572</v>
      </c>
      <c r="I1202">
        <v>5021.3428640000002</v>
      </c>
      <c r="J1202">
        <v>1550.657136</v>
      </c>
      <c r="K1202" s="5">
        <f>IF(Table1[[#This Row],[Revenue]]=0, 0, Table1[[#This Row],[Profit]]/Table1[[#This Row],[Revenue]])</f>
        <v>0.23594904686548995</v>
      </c>
    </row>
    <row r="1203" spans="1:11" x14ac:dyDescent="0.35">
      <c r="A1203" s="1">
        <v>45612</v>
      </c>
      <c r="B1203" s="3" t="s">
        <v>23</v>
      </c>
      <c r="C1203" s="3" t="s">
        <v>24</v>
      </c>
      <c r="D1203" s="3" t="s">
        <v>18</v>
      </c>
      <c r="E1203" s="4">
        <v>14</v>
      </c>
      <c r="F1203" s="4">
        <v>1789</v>
      </c>
      <c r="G1203" s="3" t="s">
        <v>19</v>
      </c>
      <c r="H1203">
        <v>25046</v>
      </c>
      <c r="I1203">
        <v>17122.827109999998</v>
      </c>
      <c r="J1203">
        <v>7923.1728869999997</v>
      </c>
      <c r="K1203" s="5">
        <f>IF(Table1[[#This Row],[Revenue]]=0, 0, Table1[[#This Row],[Profit]]/Table1[[#This Row],[Revenue]])</f>
        <v>0.3163448409726104</v>
      </c>
    </row>
    <row r="1204" spans="1:11" x14ac:dyDescent="0.35">
      <c r="A1204" s="1">
        <v>45604</v>
      </c>
      <c r="B1204" s="3" t="s">
        <v>43</v>
      </c>
      <c r="C1204" s="3" t="s">
        <v>11</v>
      </c>
      <c r="D1204" s="3" t="s">
        <v>15</v>
      </c>
      <c r="E1204" s="4">
        <v>14</v>
      </c>
      <c r="F1204" s="4">
        <v>1671</v>
      </c>
      <c r="G1204" s="3" t="s">
        <v>13</v>
      </c>
      <c r="H1204">
        <v>23394</v>
      </c>
      <c r="I1204">
        <v>20090.119330000001</v>
      </c>
      <c r="J1204">
        <v>3303.8806679999998</v>
      </c>
      <c r="K1204" s="5">
        <f>IF(Table1[[#This Row],[Revenue]]=0, 0, Table1[[#This Row],[Profit]]/Table1[[#This Row],[Revenue]])</f>
        <v>0.14122769376763272</v>
      </c>
    </row>
    <row r="1205" spans="1:11" x14ac:dyDescent="0.35">
      <c r="A1205" s="1">
        <v>45538</v>
      </c>
      <c r="B1205" s="3" t="s">
        <v>10</v>
      </c>
      <c r="C1205" s="3" t="s">
        <v>14</v>
      </c>
      <c r="D1205" s="3" t="s">
        <v>18</v>
      </c>
      <c r="E1205" s="4">
        <v>13</v>
      </c>
      <c r="F1205" s="4">
        <v>1683</v>
      </c>
      <c r="G1205" s="3" t="s">
        <v>16</v>
      </c>
      <c r="H1205">
        <v>21879</v>
      </c>
      <c r="I1205">
        <v>19599.679940000002</v>
      </c>
      <c r="J1205">
        <v>2279.3200649999999</v>
      </c>
      <c r="K1205" s="5">
        <f>IF(Table1[[#This Row],[Revenue]]=0, 0, Table1[[#This Row],[Profit]]/Table1[[#This Row],[Revenue]])</f>
        <v>0.10417843891402714</v>
      </c>
    </row>
    <row r="1206" spans="1:11" x14ac:dyDescent="0.35">
      <c r="A1206" s="1">
        <v>45614</v>
      </c>
      <c r="B1206" s="3" t="s">
        <v>10</v>
      </c>
      <c r="C1206" s="3" t="s">
        <v>22</v>
      </c>
      <c r="D1206" s="3" t="s">
        <v>29</v>
      </c>
      <c r="E1206" s="4">
        <v>6</v>
      </c>
      <c r="F1206" s="4">
        <v>1720</v>
      </c>
      <c r="G1206" s="3" t="s">
        <v>13</v>
      </c>
      <c r="H1206">
        <v>10320</v>
      </c>
      <c r="I1206">
        <v>6979.464817</v>
      </c>
      <c r="J1206">
        <v>3340.535183</v>
      </c>
      <c r="K1206" s="5">
        <f>IF(Table1[[#This Row],[Revenue]]=0, 0, Table1[[#This Row],[Profit]]/Table1[[#This Row],[Revenue]])</f>
        <v>0.32369526967054263</v>
      </c>
    </row>
    <row r="1207" spans="1:11" x14ac:dyDescent="0.35">
      <c r="A1207" s="1">
        <v>45619</v>
      </c>
      <c r="B1207" s="3" t="s">
        <v>20</v>
      </c>
      <c r="C1207" s="3" t="s">
        <v>14</v>
      </c>
      <c r="D1207" s="3" t="s">
        <v>25</v>
      </c>
      <c r="E1207" s="4">
        <v>4</v>
      </c>
      <c r="F1207" s="4">
        <v>1831</v>
      </c>
      <c r="G1207" s="3" t="s">
        <v>16</v>
      </c>
      <c r="H1207">
        <v>7324</v>
      </c>
      <c r="I1207">
        <v>6042.66543</v>
      </c>
      <c r="J1207">
        <v>1281.33457</v>
      </c>
      <c r="K1207" s="5">
        <f>IF(Table1[[#This Row],[Revenue]]=0, 0, Table1[[#This Row],[Profit]]/Table1[[#This Row],[Revenue]])</f>
        <v>0.17495010513380665</v>
      </c>
    </row>
    <row r="1208" spans="1:11" x14ac:dyDescent="0.35">
      <c r="A1208" s="1">
        <v>45345</v>
      </c>
      <c r="B1208" s="3" t="s">
        <v>10</v>
      </c>
      <c r="C1208" s="3" t="s">
        <v>17</v>
      </c>
      <c r="D1208" s="3" t="s">
        <v>25</v>
      </c>
      <c r="E1208" s="4">
        <v>8</v>
      </c>
      <c r="F1208" s="4">
        <v>545</v>
      </c>
      <c r="G1208" s="3" t="s">
        <v>19</v>
      </c>
      <c r="H1208">
        <v>4360</v>
      </c>
      <c r="I1208">
        <v>3593.3246779999999</v>
      </c>
      <c r="J1208">
        <v>766.67532159999996</v>
      </c>
      <c r="K1208" s="5">
        <f>IF(Table1[[#This Row],[Revenue]]=0, 0, Table1[[#This Row],[Profit]]/Table1[[#This Row],[Revenue]])</f>
        <v>0.17584296366972477</v>
      </c>
    </row>
    <row r="1209" spans="1:11" x14ac:dyDescent="0.35">
      <c r="A1209" s="1">
        <v>45540</v>
      </c>
      <c r="B1209" s="3" t="s">
        <v>10</v>
      </c>
      <c r="C1209" s="3" t="s">
        <v>28</v>
      </c>
      <c r="D1209" s="3" t="s">
        <v>30</v>
      </c>
      <c r="E1209" s="4">
        <v>17</v>
      </c>
      <c r="F1209" s="4">
        <v>1331</v>
      </c>
      <c r="G1209" s="3" t="s">
        <v>16</v>
      </c>
      <c r="H1209">
        <v>22627</v>
      </c>
      <c r="I1209">
        <v>20074.011050000001</v>
      </c>
      <c r="J1209">
        <v>2552.9889459999999</v>
      </c>
      <c r="K1209" s="5">
        <f>IF(Table1[[#This Row],[Revenue]]=0, 0, Table1[[#This Row],[Profit]]/Table1[[#This Row],[Revenue]])</f>
        <v>0.11282931656870111</v>
      </c>
    </row>
    <row r="1210" spans="1:11" x14ac:dyDescent="0.35">
      <c r="A1210" s="1">
        <v>45520</v>
      </c>
      <c r="B1210" s="3" t="s">
        <v>10</v>
      </c>
      <c r="C1210" s="3" t="s">
        <v>26</v>
      </c>
      <c r="D1210" s="3" t="s">
        <v>18</v>
      </c>
      <c r="E1210" s="4">
        <v>17</v>
      </c>
      <c r="F1210" s="4">
        <v>815</v>
      </c>
      <c r="G1210" s="3" t="s">
        <v>19</v>
      </c>
      <c r="H1210">
        <v>13855</v>
      </c>
      <c r="I1210">
        <v>11115.179459999999</v>
      </c>
      <c r="J1210">
        <v>2739.8205389999998</v>
      </c>
      <c r="K1210" s="5">
        <f>IF(Table1[[#This Row],[Revenue]]=0, 0, Table1[[#This Row],[Profit]]/Table1[[#This Row],[Revenue]])</f>
        <v>0.19774958780223745</v>
      </c>
    </row>
    <row r="1211" spans="1:11" x14ac:dyDescent="0.35">
      <c r="A1211" s="1">
        <v>45358</v>
      </c>
      <c r="B1211" s="3" t="s">
        <v>27</v>
      </c>
      <c r="C1211" s="3" t="s">
        <v>26</v>
      </c>
      <c r="D1211" s="3" t="s">
        <v>32</v>
      </c>
      <c r="E1211" s="4">
        <v>9</v>
      </c>
      <c r="F1211" s="4">
        <v>1075</v>
      </c>
      <c r="G1211" s="3" t="s">
        <v>19</v>
      </c>
      <c r="H1211">
        <v>9675</v>
      </c>
      <c r="I1211">
        <v>8196.304048</v>
      </c>
      <c r="J1211">
        <v>1478.695952</v>
      </c>
      <c r="K1211" s="5">
        <f>IF(Table1[[#This Row],[Revenue]]=0, 0, Table1[[#This Row],[Profit]]/Table1[[#This Row],[Revenue]])</f>
        <v>0.15283679090439276</v>
      </c>
    </row>
    <row r="1212" spans="1:11" x14ac:dyDescent="0.35">
      <c r="A1212" s="1">
        <v>45342</v>
      </c>
      <c r="B1212" s="3" t="s">
        <v>10</v>
      </c>
      <c r="C1212" s="3" t="s">
        <v>14</v>
      </c>
      <c r="D1212" s="3" t="s">
        <v>25</v>
      </c>
      <c r="E1212" s="4">
        <v>2</v>
      </c>
      <c r="F1212" s="4">
        <v>918</v>
      </c>
      <c r="G1212" s="3" t="s">
        <v>16</v>
      </c>
      <c r="H1212">
        <v>1836</v>
      </c>
      <c r="I1212">
        <v>1365.728674</v>
      </c>
      <c r="J1212">
        <v>470.27132610000001</v>
      </c>
      <c r="K1212" s="5">
        <f>IF(Table1[[#This Row],[Revenue]]=0, 0, Table1[[#This Row],[Profit]]/Table1[[#This Row],[Revenue]])</f>
        <v>0.25613906650326795</v>
      </c>
    </row>
    <row r="1213" spans="1:11" x14ac:dyDescent="0.35">
      <c r="A1213" s="1">
        <v>45388</v>
      </c>
      <c r="B1213" s="3" t="s">
        <v>20</v>
      </c>
      <c r="C1213" s="3" t="s">
        <v>17</v>
      </c>
      <c r="D1213" s="3" t="s">
        <v>12</v>
      </c>
      <c r="E1213" s="4">
        <v>13</v>
      </c>
      <c r="F1213" s="4">
        <v>203</v>
      </c>
      <c r="G1213" s="3" t="s">
        <v>19</v>
      </c>
      <c r="H1213">
        <v>2639</v>
      </c>
      <c r="I1213">
        <v>1964.5490830000001</v>
      </c>
      <c r="J1213">
        <v>674.45091669999999</v>
      </c>
      <c r="K1213" s="5">
        <f>IF(Table1[[#This Row],[Revenue]]=0, 0, Table1[[#This Row],[Profit]]/Table1[[#This Row],[Revenue]])</f>
        <v>0.255570639143615</v>
      </c>
    </row>
    <row r="1214" spans="1:11" x14ac:dyDescent="0.35">
      <c r="A1214" s="1">
        <v>45555</v>
      </c>
      <c r="B1214" s="3" t="s">
        <v>27</v>
      </c>
      <c r="C1214" s="3" t="s">
        <v>11</v>
      </c>
      <c r="D1214" s="3" t="s">
        <v>29</v>
      </c>
      <c r="E1214" s="4">
        <v>11</v>
      </c>
      <c r="F1214" s="4">
        <v>525</v>
      </c>
      <c r="G1214" s="3" t="s">
        <v>13</v>
      </c>
      <c r="H1214">
        <v>5775</v>
      </c>
      <c r="I1214">
        <v>4817.7805470000003</v>
      </c>
      <c r="J1214">
        <v>957.21945249999999</v>
      </c>
      <c r="K1214" s="5">
        <f>IF(Table1[[#This Row],[Revenue]]=0, 0, Table1[[#This Row],[Profit]]/Table1[[#This Row],[Revenue]])</f>
        <v>0.16575228614718615</v>
      </c>
    </row>
    <row r="1215" spans="1:11" x14ac:dyDescent="0.35">
      <c r="A1215" s="1">
        <v>45582</v>
      </c>
      <c r="B1215" s="3" t="s">
        <v>10</v>
      </c>
      <c r="C1215" s="3" t="s">
        <v>40</v>
      </c>
      <c r="D1215" s="3" t="s">
        <v>15</v>
      </c>
      <c r="E1215" s="4">
        <v>15</v>
      </c>
      <c r="F1215" s="4">
        <v>1224</v>
      </c>
      <c r="G1215" s="3" t="s">
        <v>19</v>
      </c>
      <c r="H1215">
        <v>18360</v>
      </c>
      <c r="I1215">
        <v>14795.566349999999</v>
      </c>
      <c r="J1215">
        <v>3564.4336450000001</v>
      </c>
      <c r="K1215" s="5">
        <f>IF(Table1[[#This Row],[Revenue]]=0, 0, Table1[[#This Row],[Profit]]/Table1[[#This Row],[Revenue]])</f>
        <v>0.19414126606753812</v>
      </c>
    </row>
    <row r="1216" spans="1:11" x14ac:dyDescent="0.35">
      <c r="A1216" s="1">
        <v>45387</v>
      </c>
      <c r="B1216" s="3" t="s">
        <v>23</v>
      </c>
      <c r="C1216" s="3" t="s">
        <v>26</v>
      </c>
      <c r="D1216" s="3" t="s">
        <v>15</v>
      </c>
      <c r="E1216" s="4">
        <v>11</v>
      </c>
      <c r="F1216" s="4">
        <v>1664</v>
      </c>
      <c r="G1216" s="3" t="s">
        <v>19</v>
      </c>
      <c r="H1216">
        <v>18304</v>
      </c>
      <c r="I1216">
        <v>13459.699420000001</v>
      </c>
      <c r="J1216">
        <v>4844.3005839999996</v>
      </c>
      <c r="K1216" s="5">
        <f>IF(Table1[[#This Row],[Revenue]]=0, 0, Table1[[#This Row],[Profit]]/Table1[[#This Row],[Revenue]])</f>
        <v>0.26465803015734263</v>
      </c>
    </row>
    <row r="1217" spans="1:11" x14ac:dyDescent="0.35">
      <c r="A1217" s="1">
        <v>45379</v>
      </c>
      <c r="B1217" s="3" t="s">
        <v>27</v>
      </c>
      <c r="C1217" s="3" t="s">
        <v>17</v>
      </c>
      <c r="D1217" s="3" t="s">
        <v>25</v>
      </c>
      <c r="E1217" s="4">
        <v>3</v>
      </c>
      <c r="F1217" s="4">
        <v>738</v>
      </c>
      <c r="G1217" s="3" t="s">
        <v>19</v>
      </c>
      <c r="H1217">
        <v>2214</v>
      </c>
      <c r="I1217">
        <v>1606.9234080000001</v>
      </c>
      <c r="J1217">
        <v>607.07659220000005</v>
      </c>
      <c r="K1217" s="5">
        <f>IF(Table1[[#This Row],[Revenue]]=0, 0, Table1[[#This Row],[Profit]]/Table1[[#This Row],[Revenue]])</f>
        <v>0.27419900280036136</v>
      </c>
    </row>
    <row r="1218" spans="1:11" x14ac:dyDescent="0.35">
      <c r="A1218" s="1">
        <v>45579</v>
      </c>
      <c r="B1218" s="3" t="s">
        <v>10</v>
      </c>
      <c r="C1218" s="3" t="s">
        <v>17</v>
      </c>
      <c r="D1218" s="3" t="s">
        <v>25</v>
      </c>
      <c r="E1218" s="4">
        <v>12</v>
      </c>
      <c r="F1218" s="4">
        <v>1645</v>
      </c>
      <c r="G1218" s="3" t="s">
        <v>19</v>
      </c>
      <c r="H1218">
        <v>19740</v>
      </c>
      <c r="I1218">
        <v>11882.49979</v>
      </c>
      <c r="J1218">
        <v>7857.5002080000004</v>
      </c>
      <c r="K1218" s="5">
        <f>IF(Table1[[#This Row],[Revenue]]=0, 0, Table1[[#This Row],[Profit]]/Table1[[#This Row],[Revenue]])</f>
        <v>0.39804965592705172</v>
      </c>
    </row>
    <row r="1219" spans="1:11" x14ac:dyDescent="0.35">
      <c r="A1219" s="1">
        <v>45411</v>
      </c>
      <c r="B1219" s="3" t="s">
        <v>10</v>
      </c>
      <c r="C1219" s="3" t="s">
        <v>11</v>
      </c>
      <c r="D1219" s="3" t="s">
        <v>15</v>
      </c>
      <c r="E1219" s="4">
        <v>5</v>
      </c>
      <c r="F1219" s="4">
        <v>1229</v>
      </c>
      <c r="G1219" s="3" t="s">
        <v>13</v>
      </c>
      <c r="H1219">
        <v>6145</v>
      </c>
      <c r="I1219">
        <v>4662.0160269999997</v>
      </c>
      <c r="J1219">
        <v>1482.9839730000001</v>
      </c>
      <c r="K1219" s="5">
        <f>IF(Table1[[#This Row],[Revenue]]=0, 0, Table1[[#This Row],[Profit]]/Table1[[#This Row],[Revenue]])</f>
        <v>0.24133181008950369</v>
      </c>
    </row>
    <row r="1220" spans="1:11" x14ac:dyDescent="0.35">
      <c r="A1220" s="1">
        <v>45593</v>
      </c>
      <c r="B1220" s="3" t="s">
        <v>20</v>
      </c>
      <c r="C1220" s="3" t="s">
        <v>22</v>
      </c>
      <c r="D1220" s="3" t="s">
        <v>12</v>
      </c>
      <c r="E1220" s="4">
        <v>7</v>
      </c>
      <c r="F1220" s="4">
        <v>1802</v>
      </c>
      <c r="G1220" s="3" t="s">
        <v>13</v>
      </c>
      <c r="H1220">
        <v>12614</v>
      </c>
      <c r="I1220">
        <v>9148.2764520000001</v>
      </c>
      <c r="J1220">
        <v>3465.7235479999999</v>
      </c>
      <c r="K1220" s="5">
        <f>IF(Table1[[#This Row],[Revenue]]=0, 0, Table1[[#This Row],[Profit]]/Table1[[#This Row],[Revenue]])</f>
        <v>0.27475214428412875</v>
      </c>
    </row>
    <row r="1221" spans="1:11" x14ac:dyDescent="0.35">
      <c r="A1221" s="1">
        <v>45456</v>
      </c>
      <c r="B1221" s="3" t="s">
        <v>10</v>
      </c>
      <c r="C1221" s="3" t="s">
        <v>24</v>
      </c>
      <c r="D1221" s="3" t="s">
        <v>18</v>
      </c>
      <c r="E1221" s="4">
        <v>7</v>
      </c>
      <c r="F1221" s="4">
        <v>868</v>
      </c>
      <c r="G1221" s="3" t="s">
        <v>19</v>
      </c>
      <c r="H1221">
        <v>6076</v>
      </c>
      <c r="I1221">
        <v>5096.6158059999998</v>
      </c>
      <c r="J1221">
        <v>979.38419409999995</v>
      </c>
      <c r="K1221" s="5">
        <f>IF(Table1[[#This Row],[Revenue]]=0, 0, Table1[[#This Row],[Profit]]/Table1[[#This Row],[Revenue]])</f>
        <v>0.16118897203752469</v>
      </c>
    </row>
    <row r="1222" spans="1:11" x14ac:dyDescent="0.35">
      <c r="A1222" s="1">
        <v>45473</v>
      </c>
      <c r="B1222" s="3" t="s">
        <v>10</v>
      </c>
      <c r="C1222" s="3" t="s">
        <v>26</v>
      </c>
      <c r="D1222" s="3" t="s">
        <v>21</v>
      </c>
      <c r="E1222" s="4">
        <v>13</v>
      </c>
      <c r="F1222" s="4">
        <v>1930</v>
      </c>
      <c r="G1222" s="3" t="s">
        <v>19</v>
      </c>
      <c r="H1222">
        <v>25090</v>
      </c>
      <c r="I1222">
        <v>19138.557079999999</v>
      </c>
      <c r="J1222">
        <v>5951.4429179999997</v>
      </c>
      <c r="K1222" s="5">
        <f>IF(Table1[[#This Row],[Revenue]]=0, 0, Table1[[#This Row],[Profit]]/Table1[[#This Row],[Revenue]])</f>
        <v>0.23720378310083698</v>
      </c>
    </row>
    <row r="1223" spans="1:11" x14ac:dyDescent="0.35">
      <c r="A1223" s="1">
        <v>45514</v>
      </c>
      <c r="B1223" s="3" t="s">
        <v>27</v>
      </c>
      <c r="C1223" s="3" t="s">
        <v>11</v>
      </c>
      <c r="D1223" s="3" t="s">
        <v>30</v>
      </c>
      <c r="E1223" s="4">
        <v>9</v>
      </c>
      <c r="F1223" s="4">
        <v>376</v>
      </c>
      <c r="G1223" s="3" t="s">
        <v>13</v>
      </c>
      <c r="H1223">
        <v>3384</v>
      </c>
      <c r="I1223">
        <v>2981.3439749999998</v>
      </c>
      <c r="J1223">
        <v>402.65602480000001</v>
      </c>
      <c r="K1223" s="5">
        <f>IF(Table1[[#This Row],[Revenue]]=0, 0, Table1[[#This Row],[Profit]]/Table1[[#This Row],[Revenue]])</f>
        <v>0.11898818699763594</v>
      </c>
    </row>
    <row r="1224" spans="1:11" x14ac:dyDescent="0.35">
      <c r="A1224" s="1">
        <v>45602</v>
      </c>
      <c r="B1224" s="3" t="s">
        <v>20</v>
      </c>
      <c r="C1224" s="3" t="s">
        <v>17</v>
      </c>
      <c r="D1224" s="3" t="s">
        <v>18</v>
      </c>
      <c r="E1224" s="4">
        <v>13</v>
      </c>
      <c r="F1224" s="4">
        <v>1188</v>
      </c>
      <c r="G1224" s="3" t="s">
        <v>19</v>
      </c>
      <c r="H1224">
        <v>15444</v>
      </c>
      <c r="I1224">
        <v>10175.15955</v>
      </c>
      <c r="J1224">
        <v>5268.840451</v>
      </c>
      <c r="K1224" s="5">
        <f>IF(Table1[[#This Row],[Revenue]]=0, 0, Table1[[#This Row],[Profit]]/Table1[[#This Row],[Revenue]])</f>
        <v>0.34115776036001039</v>
      </c>
    </row>
    <row r="1225" spans="1:11" x14ac:dyDescent="0.35">
      <c r="A1225" s="1">
        <v>45298</v>
      </c>
      <c r="B1225" s="3" t="s">
        <v>27</v>
      </c>
      <c r="C1225" s="3" t="s">
        <v>43</v>
      </c>
      <c r="D1225" s="3" t="s">
        <v>18</v>
      </c>
      <c r="E1225" s="4">
        <v>12</v>
      </c>
      <c r="F1225" s="4">
        <v>1906</v>
      </c>
      <c r="G1225" s="3" t="s">
        <v>19</v>
      </c>
      <c r="H1225">
        <v>22872</v>
      </c>
      <c r="I1225">
        <v>20517.21558</v>
      </c>
      <c r="J1225">
        <v>2354.7844239999999</v>
      </c>
      <c r="K1225" s="5">
        <f>IF(Table1[[#This Row],[Revenue]]=0, 0, Table1[[#This Row],[Profit]]/Table1[[#This Row],[Revenue]])</f>
        <v>0.10295489786638684</v>
      </c>
    </row>
    <row r="1226" spans="1:11" x14ac:dyDescent="0.35">
      <c r="A1226" s="1">
        <v>45621</v>
      </c>
      <c r="B1226" s="3" t="s">
        <v>23</v>
      </c>
      <c r="C1226" s="3" t="s">
        <v>22</v>
      </c>
      <c r="D1226" s="3" t="s">
        <v>44</v>
      </c>
      <c r="E1226" s="4">
        <v>13</v>
      </c>
      <c r="F1226" s="4">
        <v>999</v>
      </c>
      <c r="G1226" s="3" t="s">
        <v>13</v>
      </c>
      <c r="H1226">
        <v>12987</v>
      </c>
      <c r="I1226">
        <v>8952.9229730000006</v>
      </c>
      <c r="J1226">
        <v>4034.0770269999998</v>
      </c>
      <c r="K1226" s="5">
        <f>IF(Table1[[#This Row],[Revenue]]=0, 0, Table1[[#This Row],[Profit]]/Table1[[#This Row],[Revenue]])</f>
        <v>0.31062424170324171</v>
      </c>
    </row>
    <row r="1227" spans="1:11" x14ac:dyDescent="0.35">
      <c r="A1227" s="1">
        <v>45554</v>
      </c>
      <c r="B1227" s="3" t="s">
        <v>10</v>
      </c>
      <c r="C1227" s="3" t="s">
        <v>26</v>
      </c>
      <c r="D1227" s="3" t="s">
        <v>30</v>
      </c>
      <c r="E1227" s="4">
        <v>10</v>
      </c>
      <c r="F1227" s="4">
        <v>287</v>
      </c>
      <c r="G1227" s="3" t="s">
        <v>19</v>
      </c>
      <c r="H1227">
        <v>2870</v>
      </c>
      <c r="I1227">
        <v>2275.1270410000002</v>
      </c>
      <c r="J1227">
        <v>594.87295879999999</v>
      </c>
      <c r="K1227" s="5">
        <f>IF(Table1[[#This Row],[Revenue]]=0, 0, Table1[[#This Row],[Profit]]/Table1[[#This Row],[Revenue]])</f>
        <v>0.20727280794425088</v>
      </c>
    </row>
    <row r="1228" spans="1:11" x14ac:dyDescent="0.35">
      <c r="A1228" s="1">
        <v>45452</v>
      </c>
      <c r="B1228" s="3" t="s">
        <v>23</v>
      </c>
      <c r="C1228" s="3" t="s">
        <v>26</v>
      </c>
      <c r="D1228" s="3" t="s">
        <v>12</v>
      </c>
      <c r="E1228" s="4">
        <v>1</v>
      </c>
      <c r="F1228" s="4">
        <v>1440</v>
      </c>
      <c r="G1228" s="3" t="s">
        <v>19</v>
      </c>
      <c r="H1228">
        <v>1440</v>
      </c>
      <c r="I1228">
        <v>1080.800804</v>
      </c>
      <c r="J1228">
        <v>359.19919570000002</v>
      </c>
      <c r="K1228" s="5">
        <f>IF(Table1[[#This Row],[Revenue]]=0, 0, Table1[[#This Row],[Profit]]/Table1[[#This Row],[Revenue]])</f>
        <v>0.2494438859027778</v>
      </c>
    </row>
    <row r="1229" spans="1:11" x14ac:dyDescent="0.35">
      <c r="A1229" s="1">
        <v>45442</v>
      </c>
      <c r="B1229" s="3" t="s">
        <v>27</v>
      </c>
      <c r="C1229" s="3" t="s">
        <v>31</v>
      </c>
      <c r="D1229" s="3" t="s">
        <v>29</v>
      </c>
      <c r="E1229" s="4">
        <v>8</v>
      </c>
      <c r="F1229" s="4">
        <v>1261</v>
      </c>
      <c r="G1229" s="3" t="s">
        <v>19</v>
      </c>
      <c r="H1229">
        <v>10088</v>
      </c>
      <c r="I1229">
        <v>7141.0220209999998</v>
      </c>
      <c r="J1229">
        <v>2946.9779789999998</v>
      </c>
      <c r="K1229" s="5">
        <f>IF(Table1[[#This Row],[Revenue]]=0, 0, Table1[[#This Row],[Profit]]/Table1[[#This Row],[Revenue]])</f>
        <v>0.29212707959952416</v>
      </c>
    </row>
    <row r="1230" spans="1:11" x14ac:dyDescent="0.35">
      <c r="A1230" s="1">
        <v>45376</v>
      </c>
      <c r="B1230" s="3" t="s">
        <v>10</v>
      </c>
      <c r="C1230" s="3" t="s">
        <v>26</v>
      </c>
      <c r="D1230" s="3" t="s">
        <v>12</v>
      </c>
      <c r="E1230" s="4">
        <v>16</v>
      </c>
      <c r="F1230" s="4">
        <v>1466</v>
      </c>
      <c r="G1230" s="3" t="s">
        <v>19</v>
      </c>
      <c r="H1230">
        <v>23456</v>
      </c>
      <c r="I1230">
        <v>15053.89086</v>
      </c>
      <c r="J1230">
        <v>8402.1091390000001</v>
      </c>
      <c r="K1230" s="5">
        <f>IF(Table1[[#This Row],[Revenue]]=0, 0, Table1[[#This Row],[Profit]]/Table1[[#This Row],[Revenue]])</f>
        <v>0.35820724501193724</v>
      </c>
    </row>
    <row r="1231" spans="1:11" x14ac:dyDescent="0.35">
      <c r="A1231" s="1">
        <v>45438</v>
      </c>
      <c r="B1231" s="3" t="s">
        <v>10</v>
      </c>
      <c r="C1231" s="3" t="s">
        <v>22</v>
      </c>
      <c r="D1231" s="3" t="s">
        <v>12</v>
      </c>
      <c r="E1231" s="4">
        <v>13</v>
      </c>
      <c r="F1231" s="4">
        <v>204</v>
      </c>
      <c r="G1231" s="3" t="s">
        <v>13</v>
      </c>
      <c r="H1231">
        <v>2652</v>
      </c>
      <c r="I1231">
        <v>1698.4740509999999</v>
      </c>
      <c r="J1231">
        <v>953.52594910000005</v>
      </c>
      <c r="K1231" s="5">
        <f>IF(Table1[[#This Row],[Revenue]]=0, 0, Table1[[#This Row],[Profit]]/Table1[[#This Row],[Revenue]])</f>
        <v>0.3595497545625943</v>
      </c>
    </row>
    <row r="1232" spans="1:11" x14ac:dyDescent="0.35">
      <c r="A1232" s="1">
        <v>45403</v>
      </c>
      <c r="B1232" s="3" t="s">
        <v>27</v>
      </c>
      <c r="C1232" s="3" t="s">
        <v>28</v>
      </c>
      <c r="D1232" s="3" t="s">
        <v>12</v>
      </c>
      <c r="E1232" s="4">
        <v>3</v>
      </c>
      <c r="F1232" s="4">
        <v>645</v>
      </c>
      <c r="G1232" s="3" t="s">
        <v>16</v>
      </c>
      <c r="H1232">
        <v>1935</v>
      </c>
      <c r="I1232">
        <v>1574.029133</v>
      </c>
      <c r="J1232">
        <v>360.97086719999999</v>
      </c>
      <c r="K1232" s="5">
        <f>IF(Table1[[#This Row],[Revenue]]=0, 0, Table1[[#This Row],[Profit]]/Table1[[#This Row],[Revenue]])</f>
        <v>0.18654825178294573</v>
      </c>
    </row>
    <row r="1233" spans="1:11" x14ac:dyDescent="0.35">
      <c r="A1233" s="1">
        <v>45327</v>
      </c>
      <c r="B1233" s="3" t="s">
        <v>27</v>
      </c>
      <c r="C1233" s="3" t="s">
        <v>31</v>
      </c>
      <c r="D1233" s="3" t="s">
        <v>32</v>
      </c>
      <c r="E1233" s="4">
        <v>3</v>
      </c>
      <c r="F1233" s="4">
        <v>479</v>
      </c>
      <c r="G1233" s="3" t="s">
        <v>19</v>
      </c>
      <c r="H1233">
        <v>1437</v>
      </c>
      <c r="I1233">
        <v>1025.0011999999999</v>
      </c>
      <c r="J1233">
        <v>411.99879979999997</v>
      </c>
      <c r="K1233" s="5">
        <f>IF(Table1[[#This Row],[Revenue]]=0, 0, Table1[[#This Row],[Profit]]/Table1[[#This Row],[Revenue]])</f>
        <v>0.28670758510786359</v>
      </c>
    </row>
    <row r="1234" spans="1:11" x14ac:dyDescent="0.35">
      <c r="A1234" s="1">
        <v>45576</v>
      </c>
      <c r="B1234" s="3" t="s">
        <v>27</v>
      </c>
      <c r="C1234" s="3" t="s">
        <v>31</v>
      </c>
      <c r="D1234" s="3" t="s">
        <v>25</v>
      </c>
      <c r="E1234" s="4">
        <v>5</v>
      </c>
      <c r="F1234" s="4">
        <v>209</v>
      </c>
      <c r="G1234" s="3" t="s">
        <v>19</v>
      </c>
      <c r="H1234">
        <v>1045</v>
      </c>
      <c r="I1234">
        <v>928.36691489999998</v>
      </c>
      <c r="J1234">
        <v>116.6330851</v>
      </c>
      <c r="K1234" s="5">
        <f>IF(Table1[[#This Row],[Revenue]]=0, 0, Table1[[#This Row],[Profit]]/Table1[[#This Row],[Revenue]])</f>
        <v>0.11161060775119618</v>
      </c>
    </row>
    <row r="1235" spans="1:11" x14ac:dyDescent="0.35">
      <c r="A1235" s="1">
        <v>45479</v>
      </c>
      <c r="B1235" s="3" t="s">
        <v>27</v>
      </c>
      <c r="C1235" s="3" t="s">
        <v>43</v>
      </c>
      <c r="D1235" s="3" t="s">
        <v>15</v>
      </c>
      <c r="E1235" s="4">
        <v>11</v>
      </c>
      <c r="F1235" s="4">
        <v>644</v>
      </c>
      <c r="G1235" s="3" t="s">
        <v>19</v>
      </c>
      <c r="H1235">
        <v>7084</v>
      </c>
      <c r="I1235">
        <v>4942.4681639999999</v>
      </c>
      <c r="J1235">
        <v>2141.5318360000001</v>
      </c>
      <c r="K1235" s="5">
        <f>IF(Table1[[#This Row],[Revenue]]=0, 0, Table1[[#This Row],[Profit]]/Table1[[#This Row],[Revenue]])</f>
        <v>0.30230545398080183</v>
      </c>
    </row>
    <row r="1236" spans="1:11" x14ac:dyDescent="0.35">
      <c r="A1236" s="1">
        <v>45373</v>
      </c>
      <c r="B1236" s="3" t="s">
        <v>27</v>
      </c>
      <c r="C1236" s="3" t="s">
        <v>17</v>
      </c>
      <c r="D1236" s="3" t="s">
        <v>25</v>
      </c>
      <c r="E1236" s="4">
        <v>7</v>
      </c>
      <c r="F1236" s="4">
        <v>453</v>
      </c>
      <c r="G1236" s="3" t="s">
        <v>19</v>
      </c>
      <c r="H1236">
        <v>3171</v>
      </c>
      <c r="I1236">
        <v>2838.2261159999998</v>
      </c>
      <c r="J1236">
        <v>332.77388350000001</v>
      </c>
      <c r="K1236" s="5">
        <f>IF(Table1[[#This Row],[Revenue]]=0, 0, Table1[[#This Row],[Profit]]/Table1[[#This Row],[Revenue]])</f>
        <v>0.1049428834752444</v>
      </c>
    </row>
    <row r="1237" spans="1:11" x14ac:dyDescent="0.35">
      <c r="A1237" s="1">
        <v>45293</v>
      </c>
      <c r="B1237" s="3" t="s">
        <v>10</v>
      </c>
      <c r="C1237" s="3" t="s">
        <v>26</v>
      </c>
      <c r="D1237" s="3" t="s">
        <v>21</v>
      </c>
      <c r="E1237" s="4">
        <v>10</v>
      </c>
      <c r="F1237" s="4">
        <v>842</v>
      </c>
      <c r="G1237" s="3" t="s">
        <v>19</v>
      </c>
      <c r="H1237">
        <v>8420</v>
      </c>
      <c r="I1237">
        <v>5570.8991459999997</v>
      </c>
      <c r="J1237">
        <v>2849.1008539999998</v>
      </c>
      <c r="K1237" s="5">
        <f>IF(Table1[[#This Row],[Revenue]]=0, 0, Table1[[#This Row],[Profit]]/Table1[[#This Row],[Revenue]])</f>
        <v>0.33837302304038003</v>
      </c>
    </row>
    <row r="1238" spans="1:11" x14ac:dyDescent="0.35">
      <c r="A1238" s="1">
        <v>45594</v>
      </c>
      <c r="B1238" s="3" t="s">
        <v>27</v>
      </c>
      <c r="C1238" s="3" t="s">
        <v>31</v>
      </c>
      <c r="D1238" s="3" t="s">
        <v>12</v>
      </c>
      <c r="E1238" s="4">
        <v>10</v>
      </c>
      <c r="F1238" s="4">
        <v>416</v>
      </c>
      <c r="G1238" s="3" t="s">
        <v>19</v>
      </c>
      <c r="H1238">
        <v>4160</v>
      </c>
      <c r="I1238">
        <v>2624.3123540000001</v>
      </c>
      <c r="J1238">
        <v>1535.6876460000001</v>
      </c>
      <c r="K1238" s="5">
        <f>IF(Table1[[#This Row],[Revenue]]=0, 0, Table1[[#This Row],[Profit]]/Table1[[#This Row],[Revenue]])</f>
        <v>0.36915568413461541</v>
      </c>
    </row>
    <row r="1239" spans="1:11" x14ac:dyDescent="0.35">
      <c r="A1239" s="1">
        <v>45302</v>
      </c>
      <c r="B1239" s="3" t="s">
        <v>10</v>
      </c>
      <c r="C1239" s="3" t="s">
        <v>17</v>
      </c>
      <c r="D1239" s="3" t="s">
        <v>44</v>
      </c>
      <c r="E1239" s="4">
        <v>3</v>
      </c>
      <c r="F1239" s="4">
        <v>1817</v>
      </c>
      <c r="G1239" s="3" t="s">
        <v>19</v>
      </c>
      <c r="H1239">
        <v>5451</v>
      </c>
      <c r="I1239">
        <v>4718.7968060000003</v>
      </c>
      <c r="J1239">
        <v>732.20319380000001</v>
      </c>
      <c r="K1239" s="5">
        <f>IF(Table1[[#This Row],[Revenue]]=0, 0, Table1[[#This Row],[Profit]]/Table1[[#This Row],[Revenue]])</f>
        <v>0.13432456316272243</v>
      </c>
    </row>
    <row r="1240" spans="1:11" x14ac:dyDescent="0.35">
      <c r="A1240" s="1">
        <v>45525</v>
      </c>
      <c r="B1240" s="3" t="s">
        <v>27</v>
      </c>
      <c r="C1240" s="3" t="s">
        <v>22</v>
      </c>
      <c r="D1240" s="3" t="s">
        <v>25</v>
      </c>
      <c r="E1240" s="4">
        <v>8</v>
      </c>
      <c r="F1240" s="4">
        <v>1975</v>
      </c>
      <c r="G1240" s="3" t="s">
        <v>13</v>
      </c>
      <c r="H1240">
        <v>15800</v>
      </c>
      <c r="I1240">
        <v>11953.578219999999</v>
      </c>
      <c r="J1240">
        <v>3846.4217829999998</v>
      </c>
      <c r="K1240" s="5">
        <f>IF(Table1[[#This Row],[Revenue]]=0, 0, Table1[[#This Row],[Profit]]/Table1[[#This Row],[Revenue]])</f>
        <v>0.24344441664556959</v>
      </c>
    </row>
    <row r="1241" spans="1:11" x14ac:dyDescent="0.35">
      <c r="A1241" s="1">
        <v>45486</v>
      </c>
      <c r="B1241" s="3" t="s">
        <v>27</v>
      </c>
      <c r="C1241" s="3" t="s">
        <v>14</v>
      </c>
      <c r="D1241" s="3" t="s">
        <v>15</v>
      </c>
      <c r="E1241" s="4">
        <v>11</v>
      </c>
      <c r="F1241" s="4">
        <v>1188</v>
      </c>
      <c r="G1241" s="3" t="s">
        <v>16</v>
      </c>
      <c r="H1241">
        <v>13068</v>
      </c>
      <c r="I1241">
        <v>8372.6026750000001</v>
      </c>
      <c r="J1241">
        <v>4695.3973249999999</v>
      </c>
      <c r="K1241" s="5">
        <f>IF(Table1[[#This Row],[Revenue]]=0, 0, Table1[[#This Row],[Profit]]/Table1[[#This Row],[Revenue]])</f>
        <v>0.35930496824303643</v>
      </c>
    </row>
    <row r="1242" spans="1:11" x14ac:dyDescent="0.35">
      <c r="A1242" s="1">
        <v>45410</v>
      </c>
      <c r="B1242" s="3" t="s">
        <v>20</v>
      </c>
      <c r="C1242" s="3" t="s">
        <v>17</v>
      </c>
      <c r="D1242" s="3" t="s">
        <v>30</v>
      </c>
      <c r="E1242" s="4">
        <v>13</v>
      </c>
      <c r="F1242" s="4">
        <v>432</v>
      </c>
      <c r="G1242" s="3" t="s">
        <v>19</v>
      </c>
      <c r="H1242">
        <v>5616</v>
      </c>
      <c r="I1242">
        <v>3710.770399</v>
      </c>
      <c r="J1242">
        <v>1905.229601</v>
      </c>
      <c r="K1242" s="5">
        <f>IF(Table1[[#This Row],[Revenue]]=0, 0, Table1[[#This Row],[Profit]]/Table1[[#This Row],[Revenue]])</f>
        <v>0.33925028507834759</v>
      </c>
    </row>
    <row r="1243" spans="1:11" x14ac:dyDescent="0.35">
      <c r="A1243" s="1">
        <v>45311</v>
      </c>
      <c r="B1243" s="3" t="s">
        <v>10</v>
      </c>
      <c r="C1243" s="3" t="s">
        <v>24</v>
      </c>
      <c r="D1243" s="3" t="s">
        <v>25</v>
      </c>
      <c r="E1243" s="4">
        <v>7</v>
      </c>
      <c r="F1243" s="4">
        <v>1636</v>
      </c>
      <c r="G1243" s="3" t="s">
        <v>19</v>
      </c>
      <c r="H1243">
        <v>11452</v>
      </c>
      <c r="I1243">
        <v>7940.5671309999998</v>
      </c>
      <c r="J1243">
        <v>3511.4328690000002</v>
      </c>
      <c r="K1243" s="5">
        <f>IF(Table1[[#This Row],[Revenue]]=0, 0, Table1[[#This Row],[Profit]]/Table1[[#This Row],[Revenue]])</f>
        <v>0.30662180134474332</v>
      </c>
    </row>
    <row r="1244" spans="1:11" x14ac:dyDescent="0.35">
      <c r="A1244" s="1">
        <v>45552</v>
      </c>
      <c r="B1244" s="3" t="s">
        <v>27</v>
      </c>
      <c r="C1244" s="3" t="s">
        <v>24</v>
      </c>
      <c r="D1244" s="3" t="s">
        <v>18</v>
      </c>
      <c r="E1244" s="4">
        <v>13</v>
      </c>
      <c r="F1244" s="4">
        <v>1256</v>
      </c>
      <c r="G1244" s="3" t="s">
        <v>19</v>
      </c>
      <c r="H1244">
        <v>16328</v>
      </c>
      <c r="I1244">
        <v>12687.67275</v>
      </c>
      <c r="J1244">
        <v>3640.3272510000002</v>
      </c>
      <c r="K1244" s="5">
        <f>IF(Table1[[#This Row],[Revenue]]=0, 0, Table1[[#This Row],[Profit]]/Table1[[#This Row],[Revenue]])</f>
        <v>0.2229499786256737</v>
      </c>
    </row>
    <row r="1245" spans="1:11" x14ac:dyDescent="0.35">
      <c r="A1245" s="1">
        <v>45584</v>
      </c>
      <c r="B1245" s="3" t="s">
        <v>27</v>
      </c>
      <c r="C1245" s="3" t="s">
        <v>17</v>
      </c>
      <c r="D1245" s="3" t="s">
        <v>25</v>
      </c>
      <c r="E1245" s="4">
        <v>2</v>
      </c>
      <c r="F1245" s="4">
        <v>691</v>
      </c>
      <c r="G1245" s="3" t="s">
        <v>19</v>
      </c>
      <c r="H1245">
        <v>1382</v>
      </c>
      <c r="I1245">
        <v>967.00430849999998</v>
      </c>
      <c r="J1245">
        <v>414.99569150000002</v>
      </c>
      <c r="K1245" s="5">
        <f>IF(Table1[[#This Row],[Revenue]]=0, 0, Table1[[#This Row],[Profit]]/Table1[[#This Row],[Revenue]])</f>
        <v>0.30028631801736616</v>
      </c>
    </row>
    <row r="1246" spans="1:11" x14ac:dyDescent="0.35">
      <c r="A1246" s="1">
        <v>45547</v>
      </c>
      <c r="B1246" s="3" t="s">
        <v>27</v>
      </c>
      <c r="C1246" s="3" t="s">
        <v>31</v>
      </c>
      <c r="D1246" s="3" t="s">
        <v>18</v>
      </c>
      <c r="E1246" s="4">
        <v>6</v>
      </c>
      <c r="F1246" s="4">
        <v>882</v>
      </c>
      <c r="G1246" s="3" t="s">
        <v>19</v>
      </c>
      <c r="H1246">
        <v>5292</v>
      </c>
      <c r="I1246">
        <v>4361.2230609999997</v>
      </c>
      <c r="J1246">
        <v>930.77693929999998</v>
      </c>
      <c r="K1246" s="5">
        <f>IF(Table1[[#This Row],[Revenue]]=0, 0, Table1[[#This Row],[Profit]]/Table1[[#This Row],[Revenue]])</f>
        <v>0.17588377537792896</v>
      </c>
    </row>
    <row r="1247" spans="1:11" x14ac:dyDescent="0.35">
      <c r="A1247" s="1">
        <v>45513</v>
      </c>
      <c r="B1247" s="3" t="s">
        <v>20</v>
      </c>
      <c r="C1247" s="3" t="s">
        <v>43</v>
      </c>
      <c r="D1247" s="3" t="s">
        <v>30</v>
      </c>
      <c r="E1247" s="4">
        <v>9</v>
      </c>
      <c r="F1247" s="4">
        <v>1876</v>
      </c>
      <c r="G1247" s="3" t="s">
        <v>16</v>
      </c>
      <c r="H1247">
        <v>16884</v>
      </c>
      <c r="I1247">
        <v>13252.05012</v>
      </c>
      <c r="J1247">
        <v>3631.9498789999998</v>
      </c>
      <c r="K1247" s="5">
        <f>IF(Table1[[#This Row],[Revenue]]=0, 0, Table1[[#This Row],[Profit]]/Table1[[#This Row],[Revenue]])</f>
        <v>0.21511193313195923</v>
      </c>
    </row>
    <row r="1248" spans="1:11" x14ac:dyDescent="0.35">
      <c r="A1248" s="1">
        <v>45517</v>
      </c>
      <c r="B1248" s="3" t="s">
        <v>20</v>
      </c>
      <c r="C1248" s="3" t="s">
        <v>28</v>
      </c>
      <c r="D1248" s="3" t="s">
        <v>25</v>
      </c>
      <c r="E1248" s="4">
        <v>2</v>
      </c>
      <c r="F1248" s="4">
        <v>639</v>
      </c>
      <c r="G1248" s="3" t="s">
        <v>16</v>
      </c>
      <c r="H1248">
        <v>1278</v>
      </c>
      <c r="I1248">
        <v>1101.8240209999999</v>
      </c>
      <c r="J1248">
        <v>176.17597910000001</v>
      </c>
      <c r="K1248" s="5">
        <f>IF(Table1[[#This Row],[Revenue]]=0, 0, Table1[[#This Row],[Profit]]/Table1[[#This Row],[Revenue]])</f>
        <v>0.13785287879499217</v>
      </c>
    </row>
    <row r="1249" spans="1:11" x14ac:dyDescent="0.35">
      <c r="A1249" s="1">
        <v>45344</v>
      </c>
      <c r="B1249" s="3" t="s">
        <v>23</v>
      </c>
      <c r="C1249" s="3" t="s">
        <v>31</v>
      </c>
      <c r="D1249" s="3" t="s">
        <v>29</v>
      </c>
      <c r="E1249" s="4">
        <v>18</v>
      </c>
      <c r="F1249" s="4">
        <v>834</v>
      </c>
      <c r="G1249" s="3" t="s">
        <v>19</v>
      </c>
      <c r="H1249">
        <v>15012</v>
      </c>
      <c r="I1249">
        <v>11263.331679999999</v>
      </c>
      <c r="J1249">
        <v>3748.6683189999999</v>
      </c>
      <c r="K1249" s="5">
        <f>IF(Table1[[#This Row],[Revenue]]=0, 0, Table1[[#This Row],[Profit]]/Table1[[#This Row],[Revenue]])</f>
        <v>0.24971145210498266</v>
      </c>
    </row>
    <row r="1250" spans="1:11" x14ac:dyDescent="0.35">
      <c r="A1250" s="1">
        <v>45646</v>
      </c>
      <c r="B1250" s="3" t="s">
        <v>10</v>
      </c>
      <c r="C1250" s="3" t="s">
        <v>11</v>
      </c>
      <c r="D1250" s="3" t="s">
        <v>44</v>
      </c>
      <c r="E1250" s="4">
        <v>16</v>
      </c>
      <c r="F1250" s="4">
        <v>1658</v>
      </c>
      <c r="G1250" s="3" t="s">
        <v>13</v>
      </c>
      <c r="H1250">
        <v>26528</v>
      </c>
      <c r="I1250">
        <v>18552.434369999999</v>
      </c>
      <c r="J1250">
        <v>7975.5656259999996</v>
      </c>
      <c r="K1250" s="5">
        <f>IF(Table1[[#This Row],[Revenue]]=0, 0, Table1[[#This Row],[Profit]]/Table1[[#This Row],[Revenue]])</f>
        <v>0.30064707576899879</v>
      </c>
    </row>
    <row r="1251" spans="1:11" x14ac:dyDescent="0.35">
      <c r="A1251" s="1">
        <v>45633</v>
      </c>
      <c r="B1251" s="3" t="s">
        <v>23</v>
      </c>
      <c r="C1251" s="3" t="s">
        <v>28</v>
      </c>
      <c r="D1251" s="3" t="s">
        <v>21</v>
      </c>
      <c r="E1251" s="4">
        <v>12</v>
      </c>
      <c r="F1251" s="4">
        <v>1619</v>
      </c>
      <c r="G1251" s="3" t="s">
        <v>16</v>
      </c>
      <c r="H1251">
        <v>19428</v>
      </c>
      <c r="I1251">
        <v>17463.469209999999</v>
      </c>
      <c r="J1251">
        <v>1964.530794</v>
      </c>
      <c r="K1251" s="5">
        <f>IF(Table1[[#This Row],[Revenue]]=0, 0, Table1[[#This Row],[Profit]]/Table1[[#This Row],[Revenue]])</f>
        <v>0.10111852964793082</v>
      </c>
    </row>
    <row r="1252" spans="1:11" x14ac:dyDescent="0.35">
      <c r="A1252" s="1">
        <v>45655</v>
      </c>
      <c r="B1252" s="3" t="s">
        <v>27</v>
      </c>
      <c r="C1252" s="3" t="s">
        <v>24</v>
      </c>
      <c r="D1252" s="3" t="s">
        <v>30</v>
      </c>
      <c r="E1252" s="4">
        <v>7</v>
      </c>
      <c r="F1252" s="4">
        <v>720</v>
      </c>
      <c r="G1252" s="3" t="s">
        <v>19</v>
      </c>
      <c r="H1252">
        <v>5040</v>
      </c>
      <c r="I1252">
        <v>3561.7175830000001</v>
      </c>
      <c r="J1252">
        <v>1478.2824169999999</v>
      </c>
      <c r="K1252" s="5">
        <f>IF(Table1[[#This Row],[Revenue]]=0, 0, Table1[[#This Row],[Profit]]/Table1[[#This Row],[Revenue]])</f>
        <v>0.29331000337301583</v>
      </c>
    </row>
    <row r="1253" spans="1:11" x14ac:dyDescent="0.35">
      <c r="A1253" s="1">
        <v>45571</v>
      </c>
      <c r="B1253" s="3" t="s">
        <v>20</v>
      </c>
      <c r="C1253" s="3" t="s">
        <v>22</v>
      </c>
      <c r="D1253" s="3" t="s">
        <v>12</v>
      </c>
      <c r="E1253" s="4">
        <v>7</v>
      </c>
      <c r="F1253" s="4">
        <v>718</v>
      </c>
      <c r="G1253" s="3" t="s">
        <v>13</v>
      </c>
      <c r="H1253">
        <v>5026</v>
      </c>
      <c r="I1253">
        <v>3661.8470600000001</v>
      </c>
      <c r="J1253">
        <v>1364.1529399999999</v>
      </c>
      <c r="K1253" s="5">
        <f>IF(Table1[[#This Row],[Revenue]]=0, 0, Table1[[#This Row],[Profit]]/Table1[[#This Row],[Revenue]])</f>
        <v>0.27141920811778747</v>
      </c>
    </row>
    <row r="1254" spans="1:11" x14ac:dyDescent="0.35">
      <c r="A1254" s="1">
        <v>45372</v>
      </c>
      <c r="B1254" s="3" t="s">
        <v>20</v>
      </c>
      <c r="C1254" s="3" t="s">
        <v>31</v>
      </c>
      <c r="D1254" s="3" t="s">
        <v>29</v>
      </c>
      <c r="E1254" s="4">
        <v>17</v>
      </c>
      <c r="F1254" s="4">
        <v>1780</v>
      </c>
      <c r="G1254" s="3" t="s">
        <v>19</v>
      </c>
      <c r="H1254">
        <v>30260</v>
      </c>
      <c r="I1254">
        <v>25501.256949999999</v>
      </c>
      <c r="J1254">
        <v>4758.7430480000003</v>
      </c>
      <c r="K1254" s="5">
        <f>IF(Table1[[#This Row],[Revenue]]=0, 0, Table1[[#This Row],[Profit]]/Table1[[#This Row],[Revenue]])</f>
        <v>0.15726183238598812</v>
      </c>
    </row>
    <row r="1255" spans="1:11" x14ac:dyDescent="0.35">
      <c r="A1255" s="1">
        <v>45493</v>
      </c>
      <c r="B1255" s="3" t="s">
        <v>23</v>
      </c>
      <c r="C1255" s="3" t="s">
        <v>26</v>
      </c>
      <c r="D1255" s="3" t="s">
        <v>25</v>
      </c>
      <c r="E1255" s="4">
        <v>13</v>
      </c>
      <c r="F1255" s="4">
        <v>1492</v>
      </c>
      <c r="G1255" s="3" t="s">
        <v>19</v>
      </c>
      <c r="H1255">
        <v>19396</v>
      </c>
      <c r="I1255">
        <v>12153.356519999999</v>
      </c>
      <c r="J1255">
        <v>7242.6434820000004</v>
      </c>
      <c r="K1255" s="5">
        <f>IF(Table1[[#This Row],[Revenue]]=0, 0, Table1[[#This Row],[Profit]]/Table1[[#This Row],[Revenue]])</f>
        <v>0.37340912982058161</v>
      </c>
    </row>
    <row r="1256" spans="1:11" x14ac:dyDescent="0.35">
      <c r="A1256" s="1">
        <v>45449</v>
      </c>
      <c r="B1256" s="3" t="s">
        <v>20</v>
      </c>
      <c r="C1256" s="3" t="s">
        <v>24</v>
      </c>
      <c r="D1256" s="3" t="s">
        <v>30</v>
      </c>
      <c r="E1256" s="4">
        <v>11</v>
      </c>
      <c r="F1256" s="4">
        <v>1989</v>
      </c>
      <c r="G1256" s="3" t="s">
        <v>19</v>
      </c>
      <c r="H1256">
        <v>21879</v>
      </c>
      <c r="I1256">
        <v>15664.205110000001</v>
      </c>
      <c r="J1256">
        <v>6214.7948909999996</v>
      </c>
      <c r="K1256" s="5">
        <f>IF(Table1[[#This Row],[Revenue]]=0, 0, Table1[[#This Row],[Profit]]/Table1[[#This Row],[Revenue]])</f>
        <v>0.28405296818867404</v>
      </c>
    </row>
    <row r="1257" spans="1:11" x14ac:dyDescent="0.35">
      <c r="A1257" s="1">
        <v>45411</v>
      </c>
      <c r="B1257" s="3" t="s">
        <v>27</v>
      </c>
      <c r="C1257" s="3" t="s">
        <v>22</v>
      </c>
      <c r="D1257" s="3" t="s">
        <v>15</v>
      </c>
      <c r="E1257" s="4">
        <v>6</v>
      </c>
      <c r="F1257" s="4">
        <v>1008</v>
      </c>
      <c r="G1257" s="3" t="s">
        <v>13</v>
      </c>
      <c r="H1257">
        <v>6048</v>
      </c>
      <c r="I1257">
        <v>3784.312394</v>
      </c>
      <c r="J1257">
        <v>2263.687606</v>
      </c>
      <c r="K1257" s="5">
        <f>IF(Table1[[#This Row],[Revenue]]=0, 0, Table1[[#This Row],[Profit]]/Table1[[#This Row],[Revenue]])</f>
        <v>0.37428697189153437</v>
      </c>
    </row>
    <row r="1258" spans="1:11" x14ac:dyDescent="0.35">
      <c r="A1258" s="1">
        <v>45350</v>
      </c>
      <c r="B1258" s="3" t="s">
        <v>20</v>
      </c>
      <c r="C1258" s="3" t="s">
        <v>22</v>
      </c>
      <c r="D1258" s="3" t="s">
        <v>18</v>
      </c>
      <c r="E1258" s="4">
        <v>14</v>
      </c>
      <c r="F1258" s="4">
        <v>1774</v>
      </c>
      <c r="G1258" s="3" t="s">
        <v>13</v>
      </c>
      <c r="H1258">
        <v>24836</v>
      </c>
      <c r="I1258">
        <v>15939.540150000001</v>
      </c>
      <c r="J1258">
        <v>8896.4598490000008</v>
      </c>
      <c r="K1258" s="5">
        <f>IF(Table1[[#This Row],[Revenue]]=0, 0, Table1[[#This Row],[Profit]]/Table1[[#This Row],[Revenue]])</f>
        <v>0.35820824001449514</v>
      </c>
    </row>
    <row r="1259" spans="1:11" x14ac:dyDescent="0.35">
      <c r="A1259" s="1">
        <v>45506</v>
      </c>
      <c r="B1259" s="3" t="s">
        <v>23</v>
      </c>
      <c r="C1259" s="3" t="s">
        <v>31</v>
      </c>
      <c r="D1259" s="3" t="s">
        <v>25</v>
      </c>
      <c r="E1259" s="4">
        <v>6</v>
      </c>
      <c r="F1259" s="4">
        <v>1919</v>
      </c>
      <c r="G1259" s="3" t="s">
        <v>19</v>
      </c>
      <c r="H1259">
        <v>11514</v>
      </c>
      <c r="I1259">
        <v>6924.4303389999995</v>
      </c>
      <c r="J1259">
        <v>4589.5696610000005</v>
      </c>
      <c r="K1259" s="5">
        <f>IF(Table1[[#This Row],[Revenue]]=0, 0, Table1[[#This Row],[Profit]]/Table1[[#This Row],[Revenue]])</f>
        <v>0.3986077523883968</v>
      </c>
    </row>
    <row r="1260" spans="1:11" x14ac:dyDescent="0.35">
      <c r="A1260" s="1">
        <v>45515</v>
      </c>
      <c r="B1260" s="3" t="s">
        <v>23</v>
      </c>
      <c r="C1260" s="3" t="s">
        <v>31</v>
      </c>
      <c r="D1260" s="3" t="s">
        <v>18</v>
      </c>
      <c r="E1260" s="4">
        <v>2</v>
      </c>
      <c r="F1260" s="4">
        <v>1091</v>
      </c>
      <c r="G1260" s="3" t="s">
        <v>19</v>
      </c>
      <c r="H1260">
        <v>2182</v>
      </c>
      <c r="I1260">
        <v>1558.136452</v>
      </c>
      <c r="J1260">
        <v>623.86354749999998</v>
      </c>
      <c r="K1260" s="5">
        <f>IF(Table1[[#This Row],[Revenue]]=0, 0, Table1[[#This Row],[Profit]]/Table1[[#This Row],[Revenue]])</f>
        <v>0.28591363313473878</v>
      </c>
    </row>
    <row r="1261" spans="1:11" x14ac:dyDescent="0.35">
      <c r="A1261" s="1">
        <v>45500</v>
      </c>
      <c r="B1261" s="3" t="s">
        <v>20</v>
      </c>
      <c r="C1261" s="3" t="s">
        <v>28</v>
      </c>
      <c r="D1261" s="3" t="s">
        <v>12</v>
      </c>
      <c r="E1261" s="4">
        <v>15</v>
      </c>
      <c r="F1261" s="4">
        <v>198</v>
      </c>
      <c r="G1261" s="3" t="s">
        <v>16</v>
      </c>
      <c r="H1261">
        <v>2970</v>
      </c>
      <c r="I1261">
        <v>2502.96495</v>
      </c>
      <c r="J1261">
        <v>467.03504980000002</v>
      </c>
      <c r="K1261" s="5">
        <f>IF(Table1[[#This Row],[Revenue]]=0, 0, Table1[[#This Row],[Profit]]/Table1[[#This Row],[Revenue]])</f>
        <v>0.15725085851851853</v>
      </c>
    </row>
    <row r="1262" spans="1:11" x14ac:dyDescent="0.35">
      <c r="A1262" s="1">
        <v>45406</v>
      </c>
      <c r="B1262" s="3" t="s">
        <v>23</v>
      </c>
      <c r="C1262" s="3" t="s">
        <v>17</v>
      </c>
      <c r="D1262" s="3" t="s">
        <v>30</v>
      </c>
      <c r="E1262" s="4">
        <v>17</v>
      </c>
      <c r="F1262" s="4">
        <v>416</v>
      </c>
      <c r="G1262" s="3" t="s">
        <v>19</v>
      </c>
      <c r="H1262">
        <v>7072</v>
      </c>
      <c r="I1262">
        <v>5488.5884509999996</v>
      </c>
      <c r="J1262">
        <v>1583.4115489999999</v>
      </c>
      <c r="K1262" s="5">
        <f>IF(Table1[[#This Row],[Revenue]]=0, 0, Table1[[#This Row],[Profit]]/Table1[[#This Row],[Revenue]])</f>
        <v>0.22389869188348416</v>
      </c>
    </row>
    <row r="1263" spans="1:11" x14ac:dyDescent="0.35">
      <c r="A1263" s="1">
        <v>45500</v>
      </c>
      <c r="B1263" s="3" t="s">
        <v>23</v>
      </c>
      <c r="C1263" s="3" t="s">
        <v>24</v>
      </c>
      <c r="D1263" s="3" t="s">
        <v>30</v>
      </c>
      <c r="E1263" s="4">
        <v>8</v>
      </c>
      <c r="F1263" s="4">
        <v>222</v>
      </c>
      <c r="G1263" s="3" t="s">
        <v>19</v>
      </c>
      <c r="H1263">
        <v>1776</v>
      </c>
      <c r="I1263">
        <v>1403.8822029999999</v>
      </c>
      <c r="J1263">
        <v>372.11779730000001</v>
      </c>
      <c r="K1263" s="5">
        <f>IF(Table1[[#This Row],[Revenue]]=0, 0, Table1[[#This Row],[Profit]]/Table1[[#This Row],[Revenue]])</f>
        <v>0.20952578676801803</v>
      </c>
    </row>
    <row r="1264" spans="1:11" x14ac:dyDescent="0.35">
      <c r="A1264" s="1">
        <v>45305</v>
      </c>
      <c r="B1264" s="3" t="s">
        <v>10</v>
      </c>
      <c r="C1264" s="3" t="s">
        <v>11</v>
      </c>
      <c r="D1264" s="3" t="s">
        <v>21</v>
      </c>
      <c r="E1264" s="4">
        <v>5</v>
      </c>
      <c r="F1264" s="4">
        <v>1443</v>
      </c>
      <c r="G1264" s="3" t="s">
        <v>13</v>
      </c>
      <c r="H1264">
        <v>7215</v>
      </c>
      <c r="I1264">
        <v>5452.9149749999997</v>
      </c>
      <c r="J1264">
        <v>1762.0850250000001</v>
      </c>
      <c r="K1264" s="5">
        <f>IF(Table1[[#This Row],[Revenue]]=0, 0, Table1[[#This Row],[Profit]]/Table1[[#This Row],[Revenue]])</f>
        <v>0.2442252286902287</v>
      </c>
    </row>
    <row r="1265" spans="1:11" x14ac:dyDescent="0.35">
      <c r="A1265" s="1">
        <v>45300</v>
      </c>
      <c r="B1265" s="3" t="s">
        <v>20</v>
      </c>
      <c r="C1265" s="3" t="s">
        <v>17</v>
      </c>
      <c r="D1265" s="3" t="s">
        <v>18</v>
      </c>
      <c r="E1265" s="4">
        <v>17</v>
      </c>
      <c r="F1265" s="4">
        <v>898</v>
      </c>
      <c r="G1265" s="3" t="s">
        <v>19</v>
      </c>
      <c r="H1265">
        <v>15266</v>
      </c>
      <c r="I1265">
        <v>12914.08864</v>
      </c>
      <c r="J1265">
        <v>2351.9113579999998</v>
      </c>
      <c r="K1265" s="5">
        <f>IF(Table1[[#This Row],[Revenue]]=0, 0, Table1[[#This Row],[Profit]]/Table1[[#This Row],[Revenue]])</f>
        <v>0.154062056727368</v>
      </c>
    </row>
    <row r="1266" spans="1:11" x14ac:dyDescent="0.35">
      <c r="A1266" s="1">
        <v>45331</v>
      </c>
      <c r="B1266" s="3" t="s">
        <v>20</v>
      </c>
      <c r="C1266" s="3" t="s">
        <v>24</v>
      </c>
      <c r="D1266" s="3" t="s">
        <v>21</v>
      </c>
      <c r="E1266" s="4">
        <v>1</v>
      </c>
      <c r="F1266" s="4">
        <v>1716</v>
      </c>
      <c r="G1266" s="3" t="s">
        <v>19</v>
      </c>
      <c r="H1266">
        <v>1716</v>
      </c>
      <c r="I1266">
        <v>1482.818968</v>
      </c>
      <c r="J1266">
        <v>233.1810323</v>
      </c>
      <c r="K1266" s="5">
        <f>IF(Table1[[#This Row],[Revenue]]=0, 0, Table1[[#This Row],[Profit]]/Table1[[#This Row],[Revenue]])</f>
        <v>0.13588638245920745</v>
      </c>
    </row>
    <row r="1267" spans="1:11" x14ac:dyDescent="0.35">
      <c r="A1267" s="1">
        <v>45528</v>
      </c>
      <c r="B1267" s="3" t="s">
        <v>23</v>
      </c>
      <c r="C1267" s="3" t="s">
        <v>31</v>
      </c>
      <c r="D1267" s="3" t="s">
        <v>12</v>
      </c>
      <c r="E1267" s="4">
        <v>18</v>
      </c>
      <c r="F1267" s="4">
        <v>1618</v>
      </c>
      <c r="G1267" s="3" t="s">
        <v>19</v>
      </c>
      <c r="H1267">
        <v>29124</v>
      </c>
      <c r="I1267">
        <v>24898.754690000002</v>
      </c>
      <c r="J1267">
        <v>4225.2453100000002</v>
      </c>
      <c r="K1267" s="5">
        <f>IF(Table1[[#This Row],[Revenue]]=0, 0, Table1[[#This Row],[Profit]]/Table1[[#This Row],[Revenue]])</f>
        <v>0.1450777815547315</v>
      </c>
    </row>
    <row r="1268" spans="1:11" x14ac:dyDescent="0.35">
      <c r="A1268" s="1">
        <v>45572</v>
      </c>
      <c r="B1268" s="3" t="s">
        <v>10</v>
      </c>
      <c r="C1268" s="3" t="s">
        <v>24</v>
      </c>
      <c r="D1268" s="3" t="s">
        <v>18</v>
      </c>
      <c r="E1268" s="4">
        <v>15</v>
      </c>
      <c r="F1268" s="4">
        <v>556</v>
      </c>
      <c r="G1268" s="3" t="s">
        <v>19</v>
      </c>
      <c r="H1268">
        <v>8340</v>
      </c>
      <c r="I1268">
        <v>7035.9545289999996</v>
      </c>
      <c r="J1268">
        <v>1304.0454709999999</v>
      </c>
      <c r="K1268" s="5">
        <f>IF(Table1[[#This Row],[Revenue]]=0, 0, Table1[[#This Row],[Profit]]/Table1[[#This Row],[Revenue]])</f>
        <v>0.15636036822541965</v>
      </c>
    </row>
    <row r="1269" spans="1:11" x14ac:dyDescent="0.35">
      <c r="A1269" s="1">
        <v>45650</v>
      </c>
      <c r="B1269" s="3" t="s">
        <v>20</v>
      </c>
      <c r="C1269" s="3" t="s">
        <v>28</v>
      </c>
      <c r="D1269" s="3" t="s">
        <v>21</v>
      </c>
      <c r="E1269" s="4">
        <v>5</v>
      </c>
      <c r="F1269" s="4">
        <v>621</v>
      </c>
      <c r="G1269" s="3" t="s">
        <v>16</v>
      </c>
      <c r="H1269">
        <v>3105</v>
      </c>
      <c r="I1269">
        <v>2033.197228</v>
      </c>
      <c r="J1269">
        <v>1071.802772</v>
      </c>
      <c r="K1269" s="5">
        <f>IF(Table1[[#This Row],[Revenue]]=0, 0, Table1[[#This Row],[Profit]]/Table1[[#This Row],[Revenue]])</f>
        <v>0.3451860779388084</v>
      </c>
    </row>
    <row r="1270" spans="1:11" x14ac:dyDescent="0.35">
      <c r="A1270" s="1">
        <v>45492</v>
      </c>
      <c r="B1270" s="3" t="s">
        <v>27</v>
      </c>
      <c r="C1270" s="3" t="s">
        <v>31</v>
      </c>
      <c r="D1270" s="3" t="s">
        <v>21</v>
      </c>
      <c r="E1270" s="4">
        <v>7</v>
      </c>
      <c r="F1270" s="4">
        <v>619</v>
      </c>
      <c r="G1270" s="3" t="s">
        <v>19</v>
      </c>
      <c r="H1270">
        <v>4333</v>
      </c>
      <c r="I1270">
        <v>3371.7797049999999</v>
      </c>
      <c r="J1270">
        <v>961.22029459999999</v>
      </c>
      <c r="K1270" s="5">
        <f>IF(Table1[[#This Row],[Revenue]]=0, 0, Table1[[#This Row],[Profit]]/Table1[[#This Row],[Revenue]])</f>
        <v>0.2218371323794138</v>
      </c>
    </row>
    <row r="1271" spans="1:11" x14ac:dyDescent="0.35">
      <c r="A1271" s="1">
        <v>45537</v>
      </c>
      <c r="B1271" s="3" t="s">
        <v>23</v>
      </c>
      <c r="C1271" s="3" t="s">
        <v>17</v>
      </c>
      <c r="D1271" s="3" t="s">
        <v>15</v>
      </c>
      <c r="E1271" s="4">
        <v>18</v>
      </c>
      <c r="F1271" s="4">
        <v>1016</v>
      </c>
      <c r="G1271" s="3" t="s">
        <v>19</v>
      </c>
      <c r="H1271">
        <v>18288</v>
      </c>
      <c r="I1271">
        <v>14166.78016</v>
      </c>
      <c r="J1271">
        <v>4121.2198410000001</v>
      </c>
      <c r="K1271" s="5">
        <f>IF(Table1[[#This Row],[Revenue]]=0, 0, Table1[[#This Row],[Profit]]/Table1[[#This Row],[Revenue]])</f>
        <v>0.22535104117454069</v>
      </c>
    </row>
    <row r="1272" spans="1:11" x14ac:dyDescent="0.35">
      <c r="A1272" s="1">
        <v>45569</v>
      </c>
      <c r="B1272" s="3" t="s">
        <v>20</v>
      </c>
      <c r="C1272" s="3" t="s">
        <v>26</v>
      </c>
      <c r="D1272" s="3" t="s">
        <v>21</v>
      </c>
      <c r="E1272" s="4">
        <v>6</v>
      </c>
      <c r="F1272" s="4">
        <v>816</v>
      </c>
      <c r="G1272" s="3" t="s">
        <v>19</v>
      </c>
      <c r="H1272">
        <v>4896</v>
      </c>
      <c r="I1272">
        <v>3713.0441529999998</v>
      </c>
      <c r="J1272">
        <v>1182.9558469999999</v>
      </c>
      <c r="K1272" s="5">
        <f>IF(Table1[[#This Row],[Revenue]]=0, 0, Table1[[#This Row],[Profit]]/Table1[[#This Row],[Revenue]])</f>
        <v>0.24161679881535947</v>
      </c>
    </row>
    <row r="1273" spans="1:11" x14ac:dyDescent="0.35">
      <c r="A1273" s="1">
        <v>45526</v>
      </c>
      <c r="B1273" s="3" t="s">
        <v>27</v>
      </c>
      <c r="C1273" s="3" t="s">
        <v>26</v>
      </c>
      <c r="D1273" s="3" t="s">
        <v>30</v>
      </c>
      <c r="E1273" s="4">
        <v>5</v>
      </c>
      <c r="F1273" s="4">
        <v>414</v>
      </c>
      <c r="G1273" s="3" t="s">
        <v>19</v>
      </c>
      <c r="H1273">
        <v>2070</v>
      </c>
      <c r="I1273">
        <v>1540.584742</v>
      </c>
      <c r="J1273">
        <v>529.41525779999995</v>
      </c>
      <c r="K1273" s="5">
        <f>IF(Table1[[#This Row],[Revenue]]=0, 0, Table1[[#This Row],[Profit]]/Table1[[#This Row],[Revenue]])</f>
        <v>0.25575616318840577</v>
      </c>
    </row>
    <row r="1274" spans="1:11" x14ac:dyDescent="0.35">
      <c r="A1274" s="1">
        <v>45295</v>
      </c>
      <c r="B1274" s="3" t="s">
        <v>20</v>
      </c>
      <c r="C1274" s="3" t="s">
        <v>14</v>
      </c>
      <c r="D1274" s="3" t="s">
        <v>21</v>
      </c>
      <c r="E1274" s="4">
        <v>19</v>
      </c>
      <c r="F1274" s="4">
        <v>808</v>
      </c>
      <c r="G1274" s="3" t="s">
        <v>16</v>
      </c>
      <c r="H1274">
        <v>15352</v>
      </c>
      <c r="I1274">
        <v>9621.8835500000005</v>
      </c>
      <c r="J1274">
        <v>5730.1164500000004</v>
      </c>
      <c r="K1274" s="5">
        <f>IF(Table1[[#This Row],[Revenue]]=0, 0, Table1[[#This Row],[Profit]]/Table1[[#This Row],[Revenue]])</f>
        <v>0.37324885682647213</v>
      </c>
    </row>
    <row r="1275" spans="1:11" x14ac:dyDescent="0.35">
      <c r="A1275" s="1">
        <v>45445</v>
      </c>
      <c r="B1275" s="3" t="s">
        <v>27</v>
      </c>
      <c r="C1275" s="3" t="s">
        <v>14</v>
      </c>
      <c r="D1275" s="3" t="s">
        <v>18</v>
      </c>
      <c r="E1275" s="4">
        <v>10</v>
      </c>
      <c r="F1275" s="4">
        <v>809</v>
      </c>
      <c r="G1275" s="3" t="s">
        <v>16</v>
      </c>
      <c r="H1275">
        <v>8090</v>
      </c>
      <c r="I1275">
        <v>5101.9501689999997</v>
      </c>
      <c r="J1275">
        <v>2988.0498309999998</v>
      </c>
      <c r="K1275" s="5">
        <f>IF(Table1[[#This Row],[Revenue]]=0, 0, Table1[[#This Row],[Profit]]/Table1[[#This Row],[Revenue]])</f>
        <v>0.369351029789864</v>
      </c>
    </row>
    <row r="1276" spans="1:11" x14ac:dyDescent="0.35">
      <c r="A1276" s="1">
        <v>45320</v>
      </c>
      <c r="B1276" s="3" t="s">
        <v>23</v>
      </c>
      <c r="C1276" s="3" t="s">
        <v>24</v>
      </c>
      <c r="D1276" s="3" t="s">
        <v>21</v>
      </c>
      <c r="E1276" s="4">
        <v>15</v>
      </c>
      <c r="F1276" s="4">
        <v>1665</v>
      </c>
      <c r="G1276" s="3" t="s">
        <v>19</v>
      </c>
      <c r="H1276">
        <v>24975</v>
      </c>
      <c r="I1276">
        <v>21745.344669999999</v>
      </c>
      <c r="J1276">
        <v>3229.6553330000002</v>
      </c>
      <c r="K1276" s="5">
        <f>IF(Table1[[#This Row],[Revenue]]=0, 0, Table1[[#This Row],[Profit]]/Table1[[#This Row],[Revenue]])</f>
        <v>0.12931552884884887</v>
      </c>
    </row>
    <row r="1277" spans="1:11" x14ac:dyDescent="0.35">
      <c r="A1277" s="1">
        <v>45400</v>
      </c>
      <c r="B1277" s="3" t="s">
        <v>20</v>
      </c>
      <c r="C1277" s="3" t="s">
        <v>26</v>
      </c>
      <c r="D1277" s="3" t="s">
        <v>29</v>
      </c>
      <c r="E1277" s="4">
        <v>10</v>
      </c>
      <c r="F1277" s="4">
        <v>1602</v>
      </c>
      <c r="G1277" s="3" t="s">
        <v>19</v>
      </c>
      <c r="H1277">
        <v>16020</v>
      </c>
      <c r="I1277">
        <v>12640.676030000001</v>
      </c>
      <c r="J1277">
        <v>3379.3239739999999</v>
      </c>
      <c r="K1277" s="5">
        <f>IF(Table1[[#This Row],[Revenue]]=0, 0, Table1[[#This Row],[Profit]]/Table1[[#This Row],[Revenue]])</f>
        <v>0.21094406828963794</v>
      </c>
    </row>
    <row r="1278" spans="1:11" x14ac:dyDescent="0.35">
      <c r="A1278" s="1">
        <v>45389</v>
      </c>
      <c r="B1278" s="3" t="s">
        <v>20</v>
      </c>
      <c r="C1278" s="3" t="s">
        <v>31</v>
      </c>
      <c r="D1278" s="3" t="s">
        <v>32</v>
      </c>
      <c r="E1278" s="4">
        <v>16</v>
      </c>
      <c r="F1278" s="4">
        <v>1143</v>
      </c>
      <c r="G1278" s="3" t="s">
        <v>19</v>
      </c>
      <c r="H1278">
        <v>18288</v>
      </c>
      <c r="I1278">
        <v>12411.97717</v>
      </c>
      <c r="J1278">
        <v>5876.0228340000003</v>
      </c>
      <c r="K1278" s="5">
        <f>IF(Table1[[#This Row],[Revenue]]=0, 0, Table1[[#This Row],[Profit]]/Table1[[#This Row],[Revenue]])</f>
        <v>0.32130483562992129</v>
      </c>
    </row>
    <row r="1279" spans="1:11" x14ac:dyDescent="0.35">
      <c r="A1279" s="1">
        <v>45506</v>
      </c>
      <c r="B1279" s="3" t="s">
        <v>10</v>
      </c>
      <c r="C1279" s="3" t="s">
        <v>22</v>
      </c>
      <c r="D1279" s="3" t="s">
        <v>18</v>
      </c>
      <c r="E1279" s="4">
        <v>12</v>
      </c>
      <c r="F1279" s="4">
        <v>659</v>
      </c>
      <c r="G1279" s="3" t="s">
        <v>13</v>
      </c>
      <c r="H1279">
        <v>7908</v>
      </c>
      <c r="I1279">
        <v>5407.4122429999998</v>
      </c>
      <c r="J1279">
        <v>2500.5877569999998</v>
      </c>
      <c r="K1279" s="5">
        <f>IF(Table1[[#This Row],[Revenue]]=0, 0, Table1[[#This Row],[Profit]]/Table1[[#This Row],[Revenue]])</f>
        <v>0.31620988328275162</v>
      </c>
    </row>
    <row r="1280" spans="1:11" x14ac:dyDescent="0.35">
      <c r="A1280" s="1">
        <v>45584</v>
      </c>
      <c r="B1280" s="3" t="s">
        <v>23</v>
      </c>
      <c r="C1280" s="3" t="s">
        <v>31</v>
      </c>
      <c r="D1280" s="3" t="s">
        <v>29</v>
      </c>
      <c r="E1280" s="4">
        <v>18</v>
      </c>
      <c r="F1280" s="4">
        <v>1068</v>
      </c>
      <c r="G1280" s="3" t="s">
        <v>19</v>
      </c>
      <c r="H1280">
        <v>19224</v>
      </c>
      <c r="I1280">
        <v>15053.51563</v>
      </c>
      <c r="J1280">
        <v>4170.484367</v>
      </c>
      <c r="K1280" s="5">
        <f>IF(Table1[[#This Row],[Revenue]]=0, 0, Table1[[#This Row],[Profit]]/Table1[[#This Row],[Revenue]])</f>
        <v>0.21694155050977945</v>
      </c>
    </row>
    <row r="1281" spans="1:11" x14ac:dyDescent="0.35">
      <c r="A1281" s="1">
        <v>45366</v>
      </c>
      <c r="B1281" s="3" t="s">
        <v>27</v>
      </c>
      <c r="C1281" s="3" t="s">
        <v>22</v>
      </c>
      <c r="D1281" s="3" t="s">
        <v>12</v>
      </c>
      <c r="E1281" s="4">
        <v>1</v>
      </c>
      <c r="F1281" s="4">
        <v>1253</v>
      </c>
      <c r="G1281" s="3" t="s">
        <v>13</v>
      </c>
      <c r="H1281">
        <v>1253</v>
      </c>
      <c r="I1281">
        <v>904.76685699999996</v>
      </c>
      <c r="J1281">
        <v>348.23314299999998</v>
      </c>
      <c r="K1281" s="5">
        <f>IF(Table1[[#This Row],[Revenue]]=0, 0, Table1[[#This Row],[Profit]]/Table1[[#This Row],[Revenue]])</f>
        <v>0.27791950758180367</v>
      </c>
    </row>
    <row r="1282" spans="1:11" x14ac:dyDescent="0.35">
      <c r="A1282" s="1">
        <v>45617</v>
      </c>
      <c r="B1282" s="3" t="s">
        <v>20</v>
      </c>
      <c r="C1282" s="3" t="s">
        <v>17</v>
      </c>
      <c r="D1282" s="3" t="s">
        <v>18</v>
      </c>
      <c r="E1282" s="4">
        <v>16</v>
      </c>
      <c r="F1282" s="4">
        <v>1416</v>
      </c>
      <c r="G1282" s="3" t="s">
        <v>19</v>
      </c>
      <c r="H1282">
        <v>22656</v>
      </c>
      <c r="I1282">
        <v>16593.192129999999</v>
      </c>
      <c r="J1282">
        <v>6062.8078750000004</v>
      </c>
      <c r="K1282" s="5">
        <f>IF(Table1[[#This Row],[Revenue]]=0, 0, Table1[[#This Row],[Profit]]/Table1[[#This Row],[Revenue]])</f>
        <v>0.26760274871998591</v>
      </c>
    </row>
    <row r="1283" spans="1:11" x14ac:dyDescent="0.35">
      <c r="A1283" s="1">
        <v>45437</v>
      </c>
      <c r="B1283" s="3" t="s">
        <v>20</v>
      </c>
      <c r="C1283" s="3" t="s">
        <v>11</v>
      </c>
      <c r="D1283" s="3" t="s">
        <v>30</v>
      </c>
      <c r="E1283" s="4">
        <v>6</v>
      </c>
      <c r="F1283" s="4">
        <v>1255</v>
      </c>
      <c r="G1283" s="3" t="s">
        <v>13</v>
      </c>
      <c r="H1283">
        <v>7530</v>
      </c>
      <c r="I1283">
        <v>4655.0083290000002</v>
      </c>
      <c r="J1283">
        <v>2874.9916710000002</v>
      </c>
      <c r="K1283" s="5">
        <f>IF(Table1[[#This Row],[Revenue]]=0, 0, Table1[[#This Row],[Profit]]/Table1[[#This Row],[Revenue]])</f>
        <v>0.38180500278884466</v>
      </c>
    </row>
    <row r="1284" spans="1:11" x14ac:dyDescent="0.35">
      <c r="A1284" s="1">
        <v>45419</v>
      </c>
      <c r="B1284" s="3" t="s">
        <v>27</v>
      </c>
      <c r="C1284" s="3" t="s">
        <v>22</v>
      </c>
      <c r="D1284" s="3" t="s">
        <v>32</v>
      </c>
      <c r="E1284" s="4">
        <v>3</v>
      </c>
      <c r="F1284" s="4">
        <v>455</v>
      </c>
      <c r="G1284" s="3" t="s">
        <v>13</v>
      </c>
      <c r="H1284">
        <v>1365</v>
      </c>
      <c r="I1284">
        <v>875.81369710000001</v>
      </c>
      <c r="J1284">
        <v>489.18630289999999</v>
      </c>
      <c r="K1284" s="5">
        <f>IF(Table1[[#This Row],[Revenue]]=0, 0, Table1[[#This Row],[Profit]]/Table1[[#This Row],[Revenue]])</f>
        <v>0.35837824388278389</v>
      </c>
    </row>
    <row r="1285" spans="1:11" x14ac:dyDescent="0.35">
      <c r="A1285" s="1">
        <v>45632</v>
      </c>
      <c r="B1285" s="3" t="s">
        <v>23</v>
      </c>
      <c r="C1285" s="3" t="s">
        <v>26</v>
      </c>
      <c r="D1285" s="3" t="s">
        <v>32</v>
      </c>
      <c r="E1285" s="4">
        <v>2</v>
      </c>
      <c r="F1285" s="4">
        <v>1177</v>
      </c>
      <c r="G1285" s="3" t="s">
        <v>19</v>
      </c>
      <c r="H1285">
        <v>2354</v>
      </c>
      <c r="I1285">
        <v>1690.1840709999999</v>
      </c>
      <c r="J1285">
        <v>663.81592880000005</v>
      </c>
      <c r="K1285" s="5">
        <f>IF(Table1[[#This Row],[Revenue]]=0, 0, Table1[[#This Row],[Profit]]/Table1[[#This Row],[Revenue]])</f>
        <v>0.28199487204757862</v>
      </c>
    </row>
    <row r="1286" spans="1:11" x14ac:dyDescent="0.35">
      <c r="A1286" s="1">
        <v>45333</v>
      </c>
      <c r="B1286" s="3" t="s">
        <v>10</v>
      </c>
      <c r="C1286" s="3" t="s">
        <v>31</v>
      </c>
      <c r="D1286" s="3" t="s">
        <v>30</v>
      </c>
      <c r="E1286" s="4">
        <v>2</v>
      </c>
      <c r="F1286" s="4">
        <v>989</v>
      </c>
      <c r="G1286" s="3" t="s">
        <v>19</v>
      </c>
      <c r="H1286">
        <v>1978</v>
      </c>
      <c r="I1286">
        <v>1601.9939220000001</v>
      </c>
      <c r="J1286">
        <v>376.00607839999998</v>
      </c>
      <c r="K1286" s="5">
        <f>IF(Table1[[#This Row],[Revenue]]=0, 0, Table1[[#This Row],[Profit]]/Table1[[#This Row],[Revenue]])</f>
        <v>0.19009407401415571</v>
      </c>
    </row>
    <row r="1287" spans="1:11" x14ac:dyDescent="0.35">
      <c r="A1287" s="1">
        <v>45647</v>
      </c>
      <c r="B1287" s="3" t="s">
        <v>10</v>
      </c>
      <c r="C1287" s="3" t="s">
        <v>17</v>
      </c>
      <c r="D1287" s="3" t="s">
        <v>32</v>
      </c>
      <c r="E1287" s="4">
        <v>13</v>
      </c>
      <c r="F1287" s="4">
        <v>892</v>
      </c>
      <c r="G1287" s="3" t="s">
        <v>19</v>
      </c>
      <c r="H1287">
        <v>11596</v>
      </c>
      <c r="I1287">
        <v>7124.6707180000003</v>
      </c>
      <c r="J1287">
        <v>4471.3292819999997</v>
      </c>
      <c r="K1287" s="5">
        <f>IF(Table1[[#This Row],[Revenue]]=0, 0, Table1[[#This Row],[Profit]]/Table1[[#This Row],[Revenue]])</f>
        <v>0.38559238375301824</v>
      </c>
    </row>
    <row r="1288" spans="1:11" x14ac:dyDescent="0.35">
      <c r="A1288" s="1">
        <v>45332</v>
      </c>
      <c r="B1288" s="3" t="s">
        <v>20</v>
      </c>
      <c r="C1288" s="3" t="s">
        <v>26</v>
      </c>
      <c r="D1288" s="3" t="s">
        <v>30</v>
      </c>
      <c r="E1288" s="4">
        <v>9</v>
      </c>
      <c r="F1288" s="4">
        <v>1510</v>
      </c>
      <c r="G1288" s="3" t="s">
        <v>19</v>
      </c>
      <c r="H1288">
        <v>13590</v>
      </c>
      <c r="I1288">
        <v>9517.9921209999993</v>
      </c>
      <c r="J1288">
        <v>4072.0078789999998</v>
      </c>
      <c r="K1288" s="5">
        <f>IF(Table1[[#This Row],[Revenue]]=0, 0, Table1[[#This Row],[Profit]]/Table1[[#This Row],[Revenue]])</f>
        <v>0.29963266217807211</v>
      </c>
    </row>
    <row r="1289" spans="1:11" x14ac:dyDescent="0.35">
      <c r="A1289" s="1">
        <v>45325</v>
      </c>
      <c r="B1289" s="3" t="s">
        <v>27</v>
      </c>
      <c r="C1289" s="3" t="s">
        <v>17</v>
      </c>
      <c r="D1289" s="3" t="s">
        <v>29</v>
      </c>
      <c r="E1289" s="4">
        <v>16</v>
      </c>
      <c r="F1289" s="4">
        <v>364</v>
      </c>
      <c r="G1289" s="3" t="s">
        <v>19</v>
      </c>
      <c r="H1289">
        <v>5824</v>
      </c>
      <c r="I1289">
        <v>4708.8297140000004</v>
      </c>
      <c r="J1289">
        <v>1115.170286</v>
      </c>
      <c r="K1289" s="5">
        <f>IF(Table1[[#This Row],[Revenue]]=0, 0, Table1[[#This Row],[Profit]]/Table1[[#This Row],[Revenue]])</f>
        <v>0.19147841449175826</v>
      </c>
    </row>
    <row r="1290" spans="1:11" x14ac:dyDescent="0.35">
      <c r="A1290" s="1">
        <v>45308</v>
      </c>
      <c r="B1290" s="3" t="s">
        <v>20</v>
      </c>
      <c r="C1290" s="3" t="s">
        <v>11</v>
      </c>
      <c r="D1290" s="3" t="s">
        <v>12</v>
      </c>
      <c r="E1290" s="4">
        <v>5</v>
      </c>
      <c r="F1290" s="4">
        <v>1081</v>
      </c>
      <c r="G1290" s="3" t="s">
        <v>13</v>
      </c>
      <c r="H1290">
        <v>5405</v>
      </c>
      <c r="I1290">
        <v>4527.3103570000003</v>
      </c>
      <c r="J1290">
        <v>877.68964329999994</v>
      </c>
      <c r="K1290" s="5">
        <f>IF(Table1[[#This Row],[Revenue]]=0, 0, Table1[[#This Row],[Profit]]/Table1[[#This Row],[Revenue]])</f>
        <v>0.16238476286771505</v>
      </c>
    </row>
    <row r="1291" spans="1:11" x14ac:dyDescent="0.35">
      <c r="A1291" s="1">
        <v>45456</v>
      </c>
      <c r="B1291" s="3" t="s">
        <v>27</v>
      </c>
      <c r="C1291" s="3" t="s">
        <v>28</v>
      </c>
      <c r="D1291" s="3" t="s">
        <v>15</v>
      </c>
      <c r="E1291" s="4">
        <v>7</v>
      </c>
      <c r="F1291" s="4">
        <v>1338</v>
      </c>
      <c r="G1291" s="3" t="s">
        <v>16</v>
      </c>
      <c r="H1291">
        <v>9366</v>
      </c>
      <c r="I1291">
        <v>6154.0821340000002</v>
      </c>
      <c r="J1291">
        <v>3211.9178659999998</v>
      </c>
      <c r="K1291" s="5">
        <f>IF(Table1[[#This Row],[Revenue]]=0, 0, Table1[[#This Row],[Profit]]/Table1[[#This Row],[Revenue]])</f>
        <v>0.3429337888105915</v>
      </c>
    </row>
    <row r="1292" spans="1:11" x14ac:dyDescent="0.35">
      <c r="A1292" s="1">
        <v>45444</v>
      </c>
      <c r="B1292" s="3" t="s">
        <v>10</v>
      </c>
      <c r="C1292" s="3" t="s">
        <v>31</v>
      </c>
      <c r="D1292" s="3" t="s">
        <v>18</v>
      </c>
      <c r="E1292" s="4">
        <v>13</v>
      </c>
      <c r="F1292" s="4">
        <v>1583</v>
      </c>
      <c r="G1292" s="3" t="s">
        <v>19</v>
      </c>
      <c r="H1292">
        <v>20579</v>
      </c>
      <c r="I1292">
        <v>16863.382109999999</v>
      </c>
      <c r="J1292">
        <v>3715.617894</v>
      </c>
      <c r="K1292" s="5">
        <f>IF(Table1[[#This Row],[Revenue]]=0, 0, Table1[[#This Row],[Profit]]/Table1[[#This Row],[Revenue]])</f>
        <v>0.18055386044025462</v>
      </c>
    </row>
    <row r="1293" spans="1:11" x14ac:dyDescent="0.35">
      <c r="A1293" s="1">
        <v>45367</v>
      </c>
      <c r="B1293" s="3" t="s">
        <v>23</v>
      </c>
      <c r="C1293" s="3" t="s">
        <v>24</v>
      </c>
      <c r="D1293" s="3" t="s">
        <v>30</v>
      </c>
      <c r="E1293" s="4">
        <v>13</v>
      </c>
      <c r="F1293" s="4">
        <v>1581</v>
      </c>
      <c r="G1293" s="3" t="s">
        <v>19</v>
      </c>
      <c r="H1293">
        <v>20553</v>
      </c>
      <c r="I1293">
        <v>18222.772959999998</v>
      </c>
      <c r="J1293">
        <v>2330.2270349999999</v>
      </c>
      <c r="K1293" s="5">
        <f>IF(Table1[[#This Row],[Revenue]]=0, 0, Table1[[#This Row],[Profit]]/Table1[[#This Row],[Revenue]])</f>
        <v>0.11337649175302875</v>
      </c>
    </row>
    <row r="1294" spans="1:11" x14ac:dyDescent="0.35">
      <c r="A1294" s="1">
        <v>45378</v>
      </c>
      <c r="B1294" s="3" t="s">
        <v>27</v>
      </c>
      <c r="C1294" s="3" t="s">
        <v>31</v>
      </c>
      <c r="D1294" s="3" t="s">
        <v>18</v>
      </c>
      <c r="E1294" s="4">
        <v>7</v>
      </c>
      <c r="F1294" s="4">
        <v>901</v>
      </c>
      <c r="G1294" s="3" t="s">
        <v>19</v>
      </c>
      <c r="H1294">
        <v>6307</v>
      </c>
      <c r="I1294">
        <v>5499.9792690000004</v>
      </c>
      <c r="J1294">
        <v>807.02073080000002</v>
      </c>
      <c r="K1294" s="5">
        <f>IF(Table1[[#This Row],[Revenue]]=0, 0, Table1[[#This Row],[Profit]]/Table1[[#This Row],[Revenue]])</f>
        <v>0.12795635497066751</v>
      </c>
    </row>
    <row r="1295" spans="1:11" x14ac:dyDescent="0.35">
      <c r="A1295" s="1">
        <v>45408</v>
      </c>
      <c r="B1295" s="3" t="s">
        <v>10</v>
      </c>
      <c r="C1295" s="3" t="s">
        <v>14</v>
      </c>
      <c r="D1295" s="3" t="s">
        <v>12</v>
      </c>
      <c r="E1295" s="4">
        <v>10</v>
      </c>
      <c r="F1295" s="4">
        <v>142</v>
      </c>
      <c r="G1295" s="3" t="s">
        <v>16</v>
      </c>
      <c r="H1295">
        <v>1420</v>
      </c>
      <c r="I1295">
        <v>1188.2742089999999</v>
      </c>
      <c r="J1295">
        <v>231.72579099999999</v>
      </c>
      <c r="K1295" s="5">
        <f>IF(Table1[[#This Row],[Revenue]]=0, 0, Table1[[#This Row],[Profit]]/Table1[[#This Row],[Revenue]])</f>
        <v>0.16318717676056338</v>
      </c>
    </row>
    <row r="1296" spans="1:11" x14ac:dyDescent="0.35">
      <c r="A1296" s="1">
        <v>45653</v>
      </c>
      <c r="B1296" s="3" t="s">
        <v>20</v>
      </c>
      <c r="C1296" s="3" t="s">
        <v>11</v>
      </c>
      <c r="D1296" s="3" t="s">
        <v>29</v>
      </c>
      <c r="E1296" s="4">
        <v>15</v>
      </c>
      <c r="F1296" s="4">
        <v>1709</v>
      </c>
      <c r="G1296" s="3" t="s">
        <v>13</v>
      </c>
      <c r="H1296">
        <v>25635</v>
      </c>
      <c r="I1296">
        <v>20859.148379999999</v>
      </c>
      <c r="J1296">
        <v>4775.8516209999998</v>
      </c>
      <c r="K1296" s="5">
        <f>IF(Table1[[#This Row],[Revenue]]=0, 0, Table1[[#This Row],[Profit]]/Table1[[#This Row],[Revenue]])</f>
        <v>0.18630199418763407</v>
      </c>
    </row>
    <row r="1297" spans="1:11" x14ac:dyDescent="0.35">
      <c r="A1297" s="1">
        <v>45633</v>
      </c>
      <c r="B1297" s="3" t="s">
        <v>27</v>
      </c>
      <c r="C1297" s="3" t="s">
        <v>31</v>
      </c>
      <c r="D1297" s="3" t="s">
        <v>15</v>
      </c>
      <c r="E1297" s="4">
        <v>6</v>
      </c>
      <c r="F1297" s="4">
        <v>961</v>
      </c>
      <c r="G1297" s="3" t="s">
        <v>19</v>
      </c>
      <c r="H1297">
        <v>5766</v>
      </c>
      <c r="I1297">
        <v>3866.3422449999998</v>
      </c>
      <c r="J1297">
        <v>1899.657755</v>
      </c>
      <c r="K1297" s="5">
        <f>IF(Table1[[#This Row],[Revenue]]=0, 0, Table1[[#This Row],[Profit]]/Table1[[#This Row],[Revenue]])</f>
        <v>0.32945850763093998</v>
      </c>
    </row>
    <row r="1298" spans="1:11" x14ac:dyDescent="0.35">
      <c r="A1298" s="1">
        <v>45318</v>
      </c>
      <c r="B1298" s="3" t="s">
        <v>23</v>
      </c>
      <c r="C1298" s="3" t="s">
        <v>14</v>
      </c>
      <c r="D1298" s="3" t="s">
        <v>12</v>
      </c>
      <c r="E1298" s="4">
        <v>5</v>
      </c>
      <c r="F1298" s="4">
        <v>1401</v>
      </c>
      <c r="G1298" s="3" t="s">
        <v>16</v>
      </c>
      <c r="H1298">
        <v>7005</v>
      </c>
      <c r="I1298">
        <v>5535.1476320000002</v>
      </c>
      <c r="J1298">
        <v>1469.8523680000001</v>
      </c>
      <c r="K1298" s="5">
        <f>IF(Table1[[#This Row],[Revenue]]=0, 0, Table1[[#This Row],[Profit]]/Table1[[#This Row],[Revenue]])</f>
        <v>0.20982903183440402</v>
      </c>
    </row>
    <row r="1299" spans="1:11" x14ac:dyDescent="0.35">
      <c r="A1299" s="1">
        <v>45604</v>
      </c>
      <c r="B1299" s="3" t="s">
        <v>20</v>
      </c>
      <c r="C1299" s="3" t="s">
        <v>24</v>
      </c>
      <c r="D1299" s="3" t="s">
        <v>29</v>
      </c>
      <c r="E1299" s="4">
        <v>2</v>
      </c>
      <c r="F1299" s="4">
        <v>1961</v>
      </c>
      <c r="G1299" s="3" t="s">
        <v>19</v>
      </c>
      <c r="H1299">
        <v>3922</v>
      </c>
      <c r="I1299">
        <v>3110.0761809999999</v>
      </c>
      <c r="J1299">
        <v>811.92381890000001</v>
      </c>
      <c r="K1299" s="5">
        <f>IF(Table1[[#This Row],[Revenue]]=0, 0, Table1[[#This Row],[Profit]]/Table1[[#This Row],[Revenue]])</f>
        <v>0.20701780186129526</v>
      </c>
    </row>
    <row r="1300" spans="1:11" x14ac:dyDescent="0.35">
      <c r="A1300" s="1">
        <v>45578</v>
      </c>
      <c r="B1300" s="3" t="s">
        <v>20</v>
      </c>
      <c r="C1300" s="3" t="s">
        <v>22</v>
      </c>
      <c r="D1300" s="3" t="s">
        <v>32</v>
      </c>
      <c r="E1300" s="4">
        <v>15</v>
      </c>
      <c r="F1300" s="4">
        <v>1877</v>
      </c>
      <c r="G1300" s="3" t="s">
        <v>13</v>
      </c>
      <c r="H1300">
        <v>28155</v>
      </c>
      <c r="I1300">
        <v>20329.216380000002</v>
      </c>
      <c r="J1300">
        <v>7825.7836180000004</v>
      </c>
      <c r="K1300" s="5">
        <f>IF(Table1[[#This Row],[Revenue]]=0, 0, Table1[[#This Row],[Profit]]/Table1[[#This Row],[Revenue]])</f>
        <v>0.27795360035517669</v>
      </c>
    </row>
    <row r="1301" spans="1:11" x14ac:dyDescent="0.35">
      <c r="A1301" s="1">
        <v>45425</v>
      </c>
      <c r="B1301" s="3" t="s">
        <v>10</v>
      </c>
      <c r="C1301" s="3" t="s">
        <v>17</v>
      </c>
      <c r="D1301" s="3" t="s">
        <v>18</v>
      </c>
      <c r="E1301" s="4">
        <v>16</v>
      </c>
      <c r="F1301" s="4">
        <v>1253</v>
      </c>
      <c r="G1301" s="3" t="s">
        <v>19</v>
      </c>
      <c r="H1301">
        <v>20048</v>
      </c>
      <c r="I1301">
        <v>14993.992190000001</v>
      </c>
      <c r="J1301">
        <v>5054.007807</v>
      </c>
      <c r="K1301" s="5">
        <f>IF(Table1[[#This Row],[Revenue]]=0, 0, Table1[[#This Row],[Profit]]/Table1[[#This Row],[Revenue]])</f>
        <v>0.25209536148244216</v>
      </c>
    </row>
    <row r="1302" spans="1:11" x14ac:dyDescent="0.35">
      <c r="A1302" s="1">
        <v>45510</v>
      </c>
      <c r="B1302" s="3" t="s">
        <v>27</v>
      </c>
      <c r="C1302" s="3" t="s">
        <v>24</v>
      </c>
      <c r="D1302" s="3" t="s">
        <v>25</v>
      </c>
      <c r="E1302" s="4">
        <v>19</v>
      </c>
      <c r="F1302" s="4">
        <v>449</v>
      </c>
      <c r="G1302" s="3" t="s">
        <v>19</v>
      </c>
      <c r="H1302">
        <v>8531</v>
      </c>
      <c r="I1302">
        <v>6894.8271100000002</v>
      </c>
      <c r="J1302">
        <v>1636.1728900000001</v>
      </c>
      <c r="K1302" s="5">
        <f>IF(Table1[[#This Row],[Revenue]]=0, 0, Table1[[#This Row],[Profit]]/Table1[[#This Row],[Revenue]])</f>
        <v>0.19179145352244756</v>
      </c>
    </row>
    <row r="1303" spans="1:11" x14ac:dyDescent="0.35">
      <c r="A1303" s="1">
        <v>45459</v>
      </c>
      <c r="B1303" s="3" t="s">
        <v>20</v>
      </c>
      <c r="C1303" s="3" t="s">
        <v>26</v>
      </c>
      <c r="D1303" s="3" t="s">
        <v>15</v>
      </c>
      <c r="E1303" s="4">
        <v>9</v>
      </c>
      <c r="F1303" s="4">
        <v>1829</v>
      </c>
      <c r="G1303" s="3" t="s">
        <v>19</v>
      </c>
      <c r="H1303">
        <v>16461</v>
      </c>
      <c r="I1303">
        <v>14578.363009999999</v>
      </c>
      <c r="J1303">
        <v>1882.636986</v>
      </c>
      <c r="K1303" s="5">
        <f>IF(Table1[[#This Row],[Revenue]]=0, 0, Table1[[#This Row],[Profit]]/Table1[[#This Row],[Revenue]])</f>
        <v>0.11436953927464917</v>
      </c>
    </row>
    <row r="1304" spans="1:11" x14ac:dyDescent="0.35">
      <c r="A1304" s="1">
        <v>45389</v>
      </c>
      <c r="B1304" s="3" t="s">
        <v>23</v>
      </c>
      <c r="C1304" s="3" t="s">
        <v>11</v>
      </c>
      <c r="D1304" s="3" t="s">
        <v>32</v>
      </c>
      <c r="E1304" s="4">
        <v>19</v>
      </c>
      <c r="F1304" s="4">
        <v>1667</v>
      </c>
      <c r="G1304" s="3" t="s">
        <v>13</v>
      </c>
      <c r="H1304">
        <v>31673</v>
      </c>
      <c r="I1304">
        <v>21809.770059999999</v>
      </c>
      <c r="J1304">
        <v>9863.2299380000004</v>
      </c>
      <c r="K1304" s="5">
        <f>IF(Table1[[#This Row],[Revenue]]=0, 0, Table1[[#This Row],[Profit]]/Table1[[#This Row],[Revenue]])</f>
        <v>0.31140813746724338</v>
      </c>
    </row>
    <row r="1305" spans="1:11" x14ac:dyDescent="0.35">
      <c r="A1305" s="1">
        <v>45559</v>
      </c>
      <c r="B1305" s="3" t="s">
        <v>27</v>
      </c>
      <c r="C1305" s="3" t="s">
        <v>22</v>
      </c>
      <c r="D1305" s="3" t="s">
        <v>12</v>
      </c>
      <c r="E1305" s="4">
        <v>7</v>
      </c>
      <c r="F1305" s="4">
        <v>1229</v>
      </c>
      <c r="G1305" s="3" t="s">
        <v>13</v>
      </c>
      <c r="H1305">
        <v>8603</v>
      </c>
      <c r="I1305">
        <v>5797.6386590000002</v>
      </c>
      <c r="J1305">
        <v>2805.3613409999998</v>
      </c>
      <c r="K1305" s="5">
        <f>IF(Table1[[#This Row],[Revenue]]=0, 0, Table1[[#This Row],[Profit]]/Table1[[#This Row],[Revenue]])</f>
        <v>0.32609105439962799</v>
      </c>
    </row>
    <row r="1306" spans="1:11" x14ac:dyDescent="0.35">
      <c r="A1306" s="1">
        <v>45528</v>
      </c>
      <c r="B1306" s="3" t="s">
        <v>23</v>
      </c>
      <c r="C1306" s="3" t="s">
        <v>26</v>
      </c>
      <c r="D1306" s="3" t="s">
        <v>15</v>
      </c>
      <c r="E1306" s="4">
        <v>4</v>
      </c>
      <c r="F1306" s="4">
        <v>1011</v>
      </c>
      <c r="G1306" s="3" t="s">
        <v>19</v>
      </c>
      <c r="H1306">
        <v>4044</v>
      </c>
      <c r="I1306">
        <v>3156.5121220000001</v>
      </c>
      <c r="J1306">
        <v>887.48787830000003</v>
      </c>
      <c r="K1306" s="5">
        <f>IF(Table1[[#This Row],[Revenue]]=0, 0, Table1[[#This Row],[Profit]]/Table1[[#This Row],[Revenue]])</f>
        <v>0.21945793231948565</v>
      </c>
    </row>
    <row r="1307" spans="1:11" x14ac:dyDescent="0.35">
      <c r="A1307" s="1">
        <v>45600</v>
      </c>
      <c r="B1307" s="3" t="s">
        <v>20</v>
      </c>
      <c r="C1307" s="3" t="s">
        <v>26</v>
      </c>
      <c r="D1307" s="3" t="s">
        <v>32</v>
      </c>
      <c r="E1307" s="4">
        <v>3</v>
      </c>
      <c r="F1307" s="4">
        <v>1839</v>
      </c>
      <c r="G1307" s="3" t="s">
        <v>19</v>
      </c>
      <c r="H1307">
        <v>5517</v>
      </c>
      <c r="I1307">
        <v>3526.6856090000001</v>
      </c>
      <c r="J1307">
        <v>1990.3143909999999</v>
      </c>
      <c r="K1307" s="5">
        <f>IF(Table1[[#This Row],[Revenue]]=0, 0, Table1[[#This Row],[Profit]]/Table1[[#This Row],[Revenue]])</f>
        <v>0.36076026663041505</v>
      </c>
    </row>
    <row r="1308" spans="1:11" x14ac:dyDescent="0.35">
      <c r="A1308" s="1">
        <v>45464</v>
      </c>
      <c r="B1308" s="3" t="s">
        <v>23</v>
      </c>
      <c r="C1308" s="3" t="s">
        <v>11</v>
      </c>
      <c r="D1308" s="3" t="s">
        <v>29</v>
      </c>
      <c r="E1308" s="4">
        <v>11</v>
      </c>
      <c r="F1308" s="4">
        <v>100</v>
      </c>
      <c r="G1308" s="3" t="s">
        <v>13</v>
      </c>
      <c r="H1308">
        <v>1100</v>
      </c>
      <c r="I1308">
        <v>852.23583410000003</v>
      </c>
      <c r="J1308">
        <v>247.76416589999999</v>
      </c>
      <c r="K1308" s="5">
        <f>IF(Table1[[#This Row],[Revenue]]=0, 0, Table1[[#This Row],[Profit]]/Table1[[#This Row],[Revenue]])</f>
        <v>0.2252401508181818</v>
      </c>
    </row>
    <row r="1309" spans="1:11" x14ac:dyDescent="0.35">
      <c r="A1309" s="1">
        <v>45481</v>
      </c>
      <c r="B1309" s="3" t="s">
        <v>10</v>
      </c>
      <c r="C1309" s="3" t="s">
        <v>22</v>
      </c>
      <c r="D1309" s="3" t="s">
        <v>30</v>
      </c>
      <c r="E1309" s="4">
        <v>1</v>
      </c>
      <c r="F1309" s="4">
        <v>1880</v>
      </c>
      <c r="G1309" s="3" t="s">
        <v>13</v>
      </c>
      <c r="H1309">
        <v>1880</v>
      </c>
      <c r="I1309">
        <v>1178.1122379999999</v>
      </c>
      <c r="J1309">
        <v>701.88776240000004</v>
      </c>
      <c r="K1309" s="5">
        <f>IF(Table1[[#This Row],[Revenue]]=0, 0, Table1[[#This Row],[Profit]]/Table1[[#This Row],[Revenue]])</f>
        <v>0.37334455446808512</v>
      </c>
    </row>
    <row r="1310" spans="1:11" x14ac:dyDescent="0.35">
      <c r="A1310" s="1">
        <v>45413</v>
      </c>
      <c r="B1310" s="3" t="s">
        <v>23</v>
      </c>
      <c r="C1310" s="3" t="s">
        <v>28</v>
      </c>
      <c r="D1310" s="3" t="s">
        <v>18</v>
      </c>
      <c r="E1310" s="4">
        <v>6</v>
      </c>
      <c r="F1310" s="4">
        <v>683</v>
      </c>
      <c r="G1310" s="3" t="s">
        <v>16</v>
      </c>
      <c r="H1310">
        <v>4098</v>
      </c>
      <c r="I1310">
        <v>3061.9238220000002</v>
      </c>
      <c r="J1310">
        <v>1036.076178</v>
      </c>
      <c r="K1310" s="5">
        <f>IF(Table1[[#This Row],[Revenue]]=0, 0, Table1[[#This Row],[Profit]]/Table1[[#This Row],[Revenue]])</f>
        <v>0.25282483601756955</v>
      </c>
    </row>
    <row r="1311" spans="1:11" x14ac:dyDescent="0.35">
      <c r="A1311" s="1">
        <v>45337</v>
      </c>
      <c r="B1311" s="3" t="s">
        <v>27</v>
      </c>
      <c r="C1311" s="3" t="s">
        <v>26</v>
      </c>
      <c r="D1311" s="3" t="s">
        <v>21</v>
      </c>
      <c r="E1311" s="4">
        <v>11</v>
      </c>
      <c r="F1311" s="4">
        <v>531</v>
      </c>
      <c r="G1311" s="3" t="s">
        <v>19</v>
      </c>
      <c r="H1311">
        <v>5841</v>
      </c>
      <c r="I1311">
        <v>4591.752109</v>
      </c>
      <c r="J1311">
        <v>1249.247891</v>
      </c>
      <c r="K1311" s="5">
        <f>IF(Table1[[#This Row],[Revenue]]=0, 0, Table1[[#This Row],[Profit]]/Table1[[#This Row],[Revenue]])</f>
        <v>0.21387568755350111</v>
      </c>
    </row>
    <row r="1312" spans="1:11" x14ac:dyDescent="0.35">
      <c r="A1312" s="1">
        <v>45355</v>
      </c>
      <c r="B1312" s="3" t="s">
        <v>39</v>
      </c>
      <c r="C1312" s="3" t="s">
        <v>26</v>
      </c>
      <c r="D1312" s="3" t="s">
        <v>21</v>
      </c>
      <c r="E1312" s="4">
        <v>1</v>
      </c>
      <c r="F1312" s="4">
        <v>1429</v>
      </c>
      <c r="G1312" s="3" t="s">
        <v>19</v>
      </c>
      <c r="H1312">
        <v>1429</v>
      </c>
      <c r="I1312">
        <v>887.45600239999999</v>
      </c>
      <c r="J1312">
        <v>541.54399760000001</v>
      </c>
      <c r="K1312" s="5">
        <f>IF(Table1[[#This Row],[Revenue]]=0, 0, Table1[[#This Row],[Profit]]/Table1[[#This Row],[Revenue]])</f>
        <v>0.37896710818754376</v>
      </c>
    </row>
    <row r="1313" spans="1:11" x14ac:dyDescent="0.35">
      <c r="A1313" s="1">
        <v>45421</v>
      </c>
      <c r="B1313" s="3" t="s">
        <v>23</v>
      </c>
      <c r="C1313" s="3" t="s">
        <v>22</v>
      </c>
      <c r="D1313" s="3" t="s">
        <v>29</v>
      </c>
      <c r="E1313" s="4">
        <v>7</v>
      </c>
      <c r="F1313" s="4">
        <v>1650</v>
      </c>
      <c r="G1313" s="3" t="s">
        <v>13</v>
      </c>
      <c r="H1313">
        <v>11550</v>
      </c>
      <c r="I1313">
        <v>7647.0926719999998</v>
      </c>
      <c r="J1313">
        <v>3902.9073279999998</v>
      </c>
      <c r="K1313" s="5">
        <f>IF(Table1[[#This Row],[Revenue]]=0, 0, Table1[[#This Row],[Profit]]/Table1[[#This Row],[Revenue]])</f>
        <v>0.33791405437229433</v>
      </c>
    </row>
    <row r="1314" spans="1:11" x14ac:dyDescent="0.35">
      <c r="A1314" s="1">
        <v>45601</v>
      </c>
      <c r="B1314" s="3" t="s">
        <v>10</v>
      </c>
      <c r="C1314" s="3" t="s">
        <v>31</v>
      </c>
      <c r="D1314" s="3" t="s">
        <v>12</v>
      </c>
      <c r="E1314" s="4">
        <v>6</v>
      </c>
      <c r="F1314" s="4">
        <v>152</v>
      </c>
      <c r="G1314" s="3" t="s">
        <v>19</v>
      </c>
      <c r="H1314">
        <v>912</v>
      </c>
      <c r="I1314">
        <v>638.95840429999998</v>
      </c>
      <c r="J1314">
        <v>273.04159570000002</v>
      </c>
      <c r="K1314" s="5">
        <f>IF(Table1[[#This Row],[Revenue]]=0, 0, Table1[[#This Row],[Profit]]/Table1[[#This Row],[Revenue]])</f>
        <v>0.29938771458333335</v>
      </c>
    </row>
    <row r="1315" spans="1:11" x14ac:dyDescent="0.35">
      <c r="A1315" s="1">
        <v>45654</v>
      </c>
      <c r="B1315" s="3" t="s">
        <v>23</v>
      </c>
      <c r="C1315" s="3" t="s">
        <v>26</v>
      </c>
      <c r="D1315" s="3" t="s">
        <v>18</v>
      </c>
      <c r="E1315" s="4">
        <v>14</v>
      </c>
      <c r="F1315" s="4">
        <v>1039</v>
      </c>
      <c r="G1315" s="3" t="s">
        <v>19</v>
      </c>
      <c r="H1315">
        <v>14546</v>
      </c>
      <c r="I1315">
        <v>10336.090990000001</v>
      </c>
      <c r="J1315">
        <v>4209.9090139999998</v>
      </c>
      <c r="K1315" s="5">
        <f>IF(Table1[[#This Row],[Revenue]]=0, 0, Table1[[#This Row],[Profit]]/Table1[[#This Row],[Revenue]])</f>
        <v>0.28942039144782067</v>
      </c>
    </row>
    <row r="1316" spans="1:11" x14ac:dyDescent="0.35">
      <c r="A1316" s="1">
        <v>45484</v>
      </c>
      <c r="B1316" s="3" t="s">
        <v>23</v>
      </c>
      <c r="C1316" s="3" t="s">
        <v>17</v>
      </c>
      <c r="D1316" s="3" t="s">
        <v>12</v>
      </c>
      <c r="E1316" s="4">
        <v>2</v>
      </c>
      <c r="F1316" s="4">
        <v>619</v>
      </c>
      <c r="G1316" s="3" t="s">
        <v>19</v>
      </c>
      <c r="H1316">
        <v>1238</v>
      </c>
      <c r="I1316">
        <v>993.90526450000004</v>
      </c>
      <c r="J1316">
        <v>244.09473550000001</v>
      </c>
      <c r="K1316" s="5">
        <f>IF(Table1[[#This Row],[Revenue]]=0, 0, Table1[[#This Row],[Profit]]/Table1[[#This Row],[Revenue]])</f>
        <v>0.19716860702746367</v>
      </c>
    </row>
    <row r="1317" spans="1:11" x14ac:dyDescent="0.35">
      <c r="A1317" s="1">
        <v>45598</v>
      </c>
      <c r="B1317" s="3" t="s">
        <v>20</v>
      </c>
      <c r="C1317" s="3" t="s">
        <v>22</v>
      </c>
      <c r="D1317" s="3" t="s">
        <v>18</v>
      </c>
      <c r="E1317" s="4">
        <v>4</v>
      </c>
      <c r="F1317" s="4">
        <v>1453</v>
      </c>
      <c r="G1317" s="3" t="s">
        <v>13</v>
      </c>
      <c r="H1317">
        <v>5812</v>
      </c>
      <c r="I1317">
        <v>4409.6016090000003</v>
      </c>
      <c r="J1317">
        <v>1402.3983909999999</v>
      </c>
      <c r="K1317" s="5">
        <f>IF(Table1[[#This Row],[Revenue]]=0, 0, Table1[[#This Row],[Profit]]/Table1[[#This Row],[Revenue]])</f>
        <v>0.24129359790089469</v>
      </c>
    </row>
    <row r="1318" spans="1:11" x14ac:dyDescent="0.35">
      <c r="A1318" s="1">
        <v>45472</v>
      </c>
      <c r="B1318" s="3" t="s">
        <v>20</v>
      </c>
      <c r="C1318" s="3" t="s">
        <v>43</v>
      </c>
      <c r="D1318" s="3" t="s">
        <v>29</v>
      </c>
      <c r="E1318" s="4">
        <v>11</v>
      </c>
      <c r="F1318" s="4">
        <v>1681</v>
      </c>
      <c r="G1318" s="3" t="s">
        <v>19</v>
      </c>
      <c r="H1318">
        <v>18491</v>
      </c>
      <c r="I1318">
        <v>13214.27032</v>
      </c>
      <c r="J1318">
        <v>5276.7296829999996</v>
      </c>
      <c r="K1318" s="5">
        <f>IF(Table1[[#This Row],[Revenue]]=0, 0, Table1[[#This Row],[Profit]]/Table1[[#This Row],[Revenue]])</f>
        <v>0.28536745892596393</v>
      </c>
    </row>
    <row r="1319" spans="1:11" x14ac:dyDescent="0.35">
      <c r="A1319" s="1">
        <v>45583</v>
      </c>
      <c r="B1319" s="3" t="s">
        <v>27</v>
      </c>
      <c r="C1319" s="3" t="s">
        <v>11</v>
      </c>
      <c r="D1319" s="3" t="s">
        <v>18</v>
      </c>
      <c r="E1319" s="4">
        <v>15</v>
      </c>
      <c r="F1319" s="4">
        <v>1448</v>
      </c>
      <c r="G1319" s="3" t="s">
        <v>13</v>
      </c>
      <c r="H1319">
        <v>21720</v>
      </c>
      <c r="I1319">
        <v>15968.606470000001</v>
      </c>
      <c r="J1319">
        <v>5751.3935270000002</v>
      </c>
      <c r="K1319" s="5">
        <f>IF(Table1[[#This Row],[Revenue]]=0, 0, Table1[[#This Row],[Profit]]/Table1[[#This Row],[Revenue]])</f>
        <v>0.26479712371086556</v>
      </c>
    </row>
    <row r="1320" spans="1:11" x14ac:dyDescent="0.35">
      <c r="A1320" s="1">
        <v>45573</v>
      </c>
      <c r="B1320" s="3" t="s">
        <v>20</v>
      </c>
      <c r="C1320" s="3" t="s">
        <v>24</v>
      </c>
      <c r="D1320" s="3" t="s">
        <v>30</v>
      </c>
      <c r="E1320" s="4">
        <v>18</v>
      </c>
      <c r="F1320" s="4">
        <v>1237</v>
      </c>
      <c r="G1320" s="3" t="s">
        <v>19</v>
      </c>
      <c r="H1320">
        <v>22266</v>
      </c>
      <c r="I1320">
        <v>13446.281559999999</v>
      </c>
      <c r="J1320">
        <v>8819.7184350000007</v>
      </c>
      <c r="K1320" s="5">
        <f>IF(Table1[[#This Row],[Revenue]]=0, 0, Table1[[#This Row],[Profit]]/Table1[[#This Row],[Revenue]])</f>
        <v>0.39610699878738886</v>
      </c>
    </row>
    <row r="1321" spans="1:11" x14ac:dyDescent="0.35">
      <c r="A1321" s="1">
        <v>45320</v>
      </c>
      <c r="B1321" s="3" t="s">
        <v>20</v>
      </c>
      <c r="C1321" s="3" t="s">
        <v>17</v>
      </c>
      <c r="D1321" s="3" t="s">
        <v>12</v>
      </c>
      <c r="E1321" s="4">
        <v>1</v>
      </c>
      <c r="F1321" s="4">
        <v>246</v>
      </c>
      <c r="G1321" s="3" t="s">
        <v>19</v>
      </c>
      <c r="H1321">
        <v>246</v>
      </c>
      <c r="I1321">
        <v>204.46476559999999</v>
      </c>
      <c r="J1321">
        <v>41.535234389999999</v>
      </c>
      <c r="K1321" s="5">
        <f>IF(Table1[[#This Row],[Revenue]]=0, 0, Table1[[#This Row],[Profit]]/Table1[[#This Row],[Revenue]])</f>
        <v>0.16884241621951218</v>
      </c>
    </row>
    <row r="1322" spans="1:11" x14ac:dyDescent="0.35">
      <c r="A1322" s="1">
        <v>45440</v>
      </c>
      <c r="B1322" s="3" t="s">
        <v>20</v>
      </c>
      <c r="C1322" s="3" t="s">
        <v>14</v>
      </c>
      <c r="D1322" s="3" t="s">
        <v>29</v>
      </c>
      <c r="E1322" s="4">
        <v>3</v>
      </c>
      <c r="F1322" s="4">
        <v>1289</v>
      </c>
      <c r="G1322" s="3" t="s">
        <v>16</v>
      </c>
      <c r="H1322">
        <v>3867</v>
      </c>
      <c r="I1322">
        <v>2367.7695389999999</v>
      </c>
      <c r="J1322">
        <v>1499.2304610000001</v>
      </c>
      <c r="K1322" s="5">
        <f>IF(Table1[[#This Row],[Revenue]]=0, 0, Table1[[#This Row],[Profit]]/Table1[[#This Row],[Revenue]])</f>
        <v>0.38769859348332042</v>
      </c>
    </row>
    <row r="1323" spans="1:11" x14ac:dyDescent="0.35">
      <c r="A1323" s="1">
        <v>45558</v>
      </c>
      <c r="B1323" s="3" t="s">
        <v>20</v>
      </c>
      <c r="C1323" s="3" t="s">
        <v>14</v>
      </c>
      <c r="D1323" s="3" t="s">
        <v>30</v>
      </c>
      <c r="E1323" s="4">
        <v>3</v>
      </c>
      <c r="F1323" s="4">
        <v>1502</v>
      </c>
      <c r="G1323" s="3" t="s">
        <v>16</v>
      </c>
      <c r="H1323">
        <v>4506</v>
      </c>
      <c r="I1323">
        <v>3824.6713869999999</v>
      </c>
      <c r="J1323">
        <v>681.32861309999998</v>
      </c>
      <c r="K1323" s="5">
        <f>IF(Table1[[#This Row],[Revenue]]=0, 0, Table1[[#This Row],[Profit]]/Table1[[#This Row],[Revenue]])</f>
        <v>0.15120475213049267</v>
      </c>
    </row>
    <row r="1324" spans="1:11" x14ac:dyDescent="0.35">
      <c r="A1324" s="1">
        <v>45587</v>
      </c>
      <c r="B1324" s="3" t="s">
        <v>10</v>
      </c>
      <c r="C1324" s="3" t="s">
        <v>24</v>
      </c>
      <c r="D1324" s="3" t="s">
        <v>18</v>
      </c>
      <c r="E1324" s="4">
        <v>0</v>
      </c>
      <c r="F1324" s="4">
        <v>1262</v>
      </c>
      <c r="G1324" s="3" t="s">
        <v>19</v>
      </c>
      <c r="H1324">
        <v>0</v>
      </c>
      <c r="I1324">
        <v>0</v>
      </c>
      <c r="J1324">
        <v>0</v>
      </c>
      <c r="K1324" s="5">
        <f>IF(Table1[[#This Row],[Revenue]]=0, 0, Table1[[#This Row],[Profit]]/Table1[[#This Row],[Revenue]])</f>
        <v>0</v>
      </c>
    </row>
    <row r="1325" spans="1:11" x14ac:dyDescent="0.35">
      <c r="A1325" s="1">
        <v>45302</v>
      </c>
      <c r="B1325" s="3" t="s">
        <v>20</v>
      </c>
      <c r="C1325" s="3" t="s">
        <v>43</v>
      </c>
      <c r="D1325" s="3" t="s">
        <v>29</v>
      </c>
      <c r="E1325" s="4">
        <v>1</v>
      </c>
      <c r="F1325" s="4">
        <v>728</v>
      </c>
      <c r="G1325" s="3" t="s">
        <v>16</v>
      </c>
      <c r="H1325">
        <v>728</v>
      </c>
      <c r="I1325">
        <v>552.07571140000005</v>
      </c>
      <c r="J1325">
        <v>175.92428860000001</v>
      </c>
      <c r="K1325" s="5">
        <f>IF(Table1[[#This Row],[Revenue]]=0, 0, Table1[[#This Row],[Profit]]/Table1[[#This Row],[Revenue]])</f>
        <v>0.24165424258241761</v>
      </c>
    </row>
    <row r="1326" spans="1:11" x14ac:dyDescent="0.35">
      <c r="A1326" s="1">
        <v>45455</v>
      </c>
      <c r="B1326" s="3" t="s">
        <v>10</v>
      </c>
      <c r="C1326" s="3" t="s">
        <v>24</v>
      </c>
      <c r="D1326" s="3" t="s">
        <v>18</v>
      </c>
      <c r="E1326" s="4">
        <v>11</v>
      </c>
      <c r="F1326" s="4">
        <v>398</v>
      </c>
      <c r="G1326" s="3" t="s">
        <v>19</v>
      </c>
      <c r="H1326">
        <v>4378</v>
      </c>
      <c r="I1326">
        <v>3552.1935699999999</v>
      </c>
      <c r="J1326">
        <v>825.80643029999999</v>
      </c>
      <c r="K1326" s="5">
        <f>IF(Table1[[#This Row],[Revenue]]=0, 0, Table1[[#This Row],[Profit]]/Table1[[#This Row],[Revenue]])</f>
        <v>0.18862641167199634</v>
      </c>
    </row>
    <row r="1327" spans="1:11" x14ac:dyDescent="0.35">
      <c r="A1327" s="1">
        <v>45404</v>
      </c>
      <c r="B1327" s="3" t="s">
        <v>10</v>
      </c>
      <c r="C1327" s="3" t="s">
        <v>26</v>
      </c>
      <c r="D1327" s="3" t="s">
        <v>12</v>
      </c>
      <c r="E1327" s="4">
        <v>6</v>
      </c>
      <c r="F1327" s="4">
        <v>1399</v>
      </c>
      <c r="G1327" s="3" t="s">
        <v>19</v>
      </c>
      <c r="H1327">
        <v>8394</v>
      </c>
      <c r="I1327">
        <v>7200.9428150000003</v>
      </c>
      <c r="J1327">
        <v>1193.0571849999999</v>
      </c>
      <c r="K1327" s="5">
        <f>IF(Table1[[#This Row],[Revenue]]=0, 0, Table1[[#This Row],[Profit]]/Table1[[#This Row],[Revenue]])</f>
        <v>0.14213214021920417</v>
      </c>
    </row>
    <row r="1328" spans="1:11" x14ac:dyDescent="0.35">
      <c r="A1328" s="1">
        <v>45478</v>
      </c>
      <c r="B1328" s="3" t="s">
        <v>20</v>
      </c>
      <c r="C1328" s="3" t="s">
        <v>17</v>
      </c>
      <c r="D1328" s="3" t="s">
        <v>29</v>
      </c>
      <c r="E1328" s="4">
        <v>3</v>
      </c>
      <c r="F1328" s="4">
        <v>888</v>
      </c>
      <c r="G1328" s="3" t="s">
        <v>19</v>
      </c>
      <c r="H1328">
        <v>2664</v>
      </c>
      <c r="I1328">
        <v>2351.7628</v>
      </c>
      <c r="J1328">
        <v>312.23719970000002</v>
      </c>
      <c r="K1328" s="5">
        <f>IF(Table1[[#This Row],[Revenue]]=0, 0, Table1[[#This Row],[Profit]]/Table1[[#This Row],[Revenue]])</f>
        <v>0.11720615604354355</v>
      </c>
    </row>
    <row r="1329" spans="1:11" x14ac:dyDescent="0.35">
      <c r="A1329" s="1">
        <v>45586</v>
      </c>
      <c r="B1329" s="3" t="s">
        <v>23</v>
      </c>
      <c r="C1329" s="3" t="s">
        <v>17</v>
      </c>
      <c r="D1329" s="3" t="s">
        <v>18</v>
      </c>
      <c r="E1329" s="4">
        <v>19</v>
      </c>
      <c r="F1329" s="4">
        <v>949</v>
      </c>
      <c r="G1329" s="3" t="s">
        <v>19</v>
      </c>
      <c r="H1329">
        <v>18031</v>
      </c>
      <c r="I1329">
        <v>13757.85073</v>
      </c>
      <c r="J1329">
        <v>4273.1492689999995</v>
      </c>
      <c r="K1329" s="5">
        <f>IF(Table1[[#This Row],[Revenue]]=0, 0, Table1[[#This Row],[Profit]]/Table1[[#This Row],[Revenue]])</f>
        <v>0.236989033830625</v>
      </c>
    </row>
    <row r="1330" spans="1:11" x14ac:dyDescent="0.35">
      <c r="A1330" s="1">
        <v>45523</v>
      </c>
      <c r="B1330" s="3" t="s">
        <v>10</v>
      </c>
      <c r="C1330" s="3" t="s">
        <v>31</v>
      </c>
      <c r="D1330" s="3" t="s">
        <v>12</v>
      </c>
      <c r="E1330" s="4">
        <v>2</v>
      </c>
      <c r="F1330" s="4">
        <v>1948</v>
      </c>
      <c r="G1330" s="3" t="s">
        <v>19</v>
      </c>
      <c r="H1330">
        <v>3896</v>
      </c>
      <c r="I1330">
        <v>2513.6893420000001</v>
      </c>
      <c r="J1330">
        <v>1382.3106580000001</v>
      </c>
      <c r="K1330" s="5">
        <f>IF(Table1[[#This Row],[Revenue]]=0, 0, Table1[[#This Row],[Profit]]/Table1[[#This Row],[Revenue]])</f>
        <v>0.35480253028747438</v>
      </c>
    </row>
    <row r="1331" spans="1:11" x14ac:dyDescent="0.35">
      <c r="A1331" s="1">
        <v>45518</v>
      </c>
      <c r="B1331" s="3" t="s">
        <v>23</v>
      </c>
      <c r="C1331" s="3" t="s">
        <v>24</v>
      </c>
      <c r="D1331" s="3" t="s">
        <v>30</v>
      </c>
      <c r="E1331" s="4">
        <v>18</v>
      </c>
      <c r="F1331" s="4">
        <v>277</v>
      </c>
      <c r="G1331" s="3" t="s">
        <v>19</v>
      </c>
      <c r="H1331">
        <v>4986</v>
      </c>
      <c r="I1331">
        <v>4305.8561390000004</v>
      </c>
      <c r="J1331">
        <v>680.14386060000004</v>
      </c>
      <c r="K1331" s="5">
        <f>IF(Table1[[#This Row],[Revenue]]=0, 0, Table1[[#This Row],[Profit]]/Table1[[#This Row],[Revenue]])</f>
        <v>0.13641072214199759</v>
      </c>
    </row>
    <row r="1332" spans="1:11" x14ac:dyDescent="0.35">
      <c r="A1332" s="1">
        <v>45601</v>
      </c>
      <c r="B1332" s="3" t="s">
        <v>23</v>
      </c>
      <c r="C1332" s="3" t="s">
        <v>17</v>
      </c>
      <c r="D1332" s="3" t="s">
        <v>25</v>
      </c>
      <c r="E1332" s="4">
        <v>12</v>
      </c>
      <c r="F1332" s="4">
        <v>941</v>
      </c>
      <c r="G1332" s="3" t="s">
        <v>19</v>
      </c>
      <c r="H1332">
        <v>11292</v>
      </c>
      <c r="I1332">
        <v>6912.9805290000004</v>
      </c>
      <c r="J1332">
        <v>4379.0194709999996</v>
      </c>
      <c r="K1332" s="5">
        <f>IF(Table1[[#This Row],[Revenue]]=0, 0, Table1[[#This Row],[Profit]]/Table1[[#This Row],[Revenue]])</f>
        <v>0.3877983945270988</v>
      </c>
    </row>
    <row r="1333" spans="1:11" x14ac:dyDescent="0.35">
      <c r="A1333" s="1">
        <v>45389</v>
      </c>
      <c r="B1333" s="3" t="s">
        <v>20</v>
      </c>
      <c r="C1333" s="3" t="s">
        <v>31</v>
      </c>
      <c r="D1333" s="3" t="s">
        <v>30</v>
      </c>
      <c r="E1333" s="4">
        <v>10</v>
      </c>
      <c r="F1333" s="4">
        <v>1477</v>
      </c>
      <c r="G1333" s="3" t="s">
        <v>19</v>
      </c>
      <c r="H1333">
        <v>14770</v>
      </c>
      <c r="I1333">
        <v>12439.311</v>
      </c>
      <c r="J1333">
        <v>2330.6889970000002</v>
      </c>
      <c r="K1333" s="5">
        <f>IF(Table1[[#This Row],[Revenue]]=0, 0, Table1[[#This Row],[Profit]]/Table1[[#This Row],[Revenue]])</f>
        <v>0.1577988488151659</v>
      </c>
    </row>
    <row r="1334" spans="1:11" x14ac:dyDescent="0.35">
      <c r="A1334" s="1">
        <v>45346</v>
      </c>
      <c r="B1334" s="3" t="s">
        <v>27</v>
      </c>
      <c r="C1334" s="3" t="s">
        <v>22</v>
      </c>
      <c r="D1334" s="3" t="s">
        <v>18</v>
      </c>
      <c r="E1334" s="4">
        <v>5</v>
      </c>
      <c r="F1334" s="4">
        <v>1277</v>
      </c>
      <c r="G1334" s="3" t="s">
        <v>13</v>
      </c>
      <c r="H1334">
        <v>6385</v>
      </c>
      <c r="I1334">
        <v>5134.3476250000003</v>
      </c>
      <c r="J1334">
        <v>1250.6523749999999</v>
      </c>
      <c r="K1334" s="5">
        <f>IF(Table1[[#This Row],[Revenue]]=0, 0, Table1[[#This Row],[Profit]]/Table1[[#This Row],[Revenue]])</f>
        <v>0.195873512137823</v>
      </c>
    </row>
    <row r="1335" spans="1:11" x14ac:dyDescent="0.35">
      <c r="A1335" s="1">
        <v>45402</v>
      </c>
      <c r="B1335" s="3" t="s">
        <v>20</v>
      </c>
      <c r="C1335" s="3" t="s">
        <v>31</v>
      </c>
      <c r="D1335" s="3" t="s">
        <v>29</v>
      </c>
      <c r="E1335" s="4">
        <v>9</v>
      </c>
      <c r="F1335" s="4">
        <v>1324</v>
      </c>
      <c r="G1335" s="3" t="s">
        <v>19</v>
      </c>
      <c r="H1335">
        <v>11916</v>
      </c>
      <c r="I1335">
        <v>10383.820250000001</v>
      </c>
      <c r="J1335">
        <v>1532.1797489999999</v>
      </c>
      <c r="K1335" s="5">
        <f>IF(Table1[[#This Row],[Revenue]]=0, 0, Table1[[#This Row],[Profit]]/Table1[[#This Row],[Revenue]])</f>
        <v>0.12858171777442093</v>
      </c>
    </row>
    <row r="1336" spans="1:11" x14ac:dyDescent="0.35">
      <c r="A1336" s="1">
        <v>45443</v>
      </c>
      <c r="B1336" s="3" t="s">
        <v>27</v>
      </c>
      <c r="C1336" s="3" t="s">
        <v>11</v>
      </c>
      <c r="D1336" s="3" t="s">
        <v>21</v>
      </c>
      <c r="E1336" s="4">
        <v>2</v>
      </c>
      <c r="F1336" s="4">
        <v>977</v>
      </c>
      <c r="G1336" s="3" t="s">
        <v>13</v>
      </c>
      <c r="H1336">
        <v>1954</v>
      </c>
      <c r="I1336">
        <v>1698.4928990000001</v>
      </c>
      <c r="J1336">
        <v>255.50710129999999</v>
      </c>
      <c r="K1336" s="5">
        <f>IF(Table1[[#This Row],[Revenue]]=0, 0, Table1[[#This Row],[Profit]]/Table1[[#This Row],[Revenue]])</f>
        <v>0.13076105491299897</v>
      </c>
    </row>
    <row r="1337" spans="1:11" x14ac:dyDescent="0.35">
      <c r="A1337" s="1">
        <v>45537</v>
      </c>
      <c r="B1337" s="3" t="s">
        <v>27</v>
      </c>
      <c r="C1337" s="3" t="s">
        <v>28</v>
      </c>
      <c r="D1337" s="3" t="s">
        <v>30</v>
      </c>
      <c r="E1337" s="4">
        <v>2</v>
      </c>
      <c r="F1337" s="4">
        <v>1238</v>
      </c>
      <c r="G1337" s="3" t="s">
        <v>16</v>
      </c>
      <c r="H1337">
        <v>2476</v>
      </c>
      <c r="I1337">
        <v>1525.0828550000001</v>
      </c>
      <c r="J1337">
        <v>950.91714530000002</v>
      </c>
      <c r="K1337" s="5">
        <f>IF(Table1[[#This Row],[Revenue]]=0, 0, Table1[[#This Row],[Profit]]/Table1[[#This Row],[Revenue]])</f>
        <v>0.38405377435379645</v>
      </c>
    </row>
    <row r="1338" spans="1:11" x14ac:dyDescent="0.35">
      <c r="A1338" s="1">
        <v>45360</v>
      </c>
      <c r="B1338" s="3" t="s">
        <v>20</v>
      </c>
      <c r="C1338" s="3" t="s">
        <v>26</v>
      </c>
      <c r="D1338" s="3" t="s">
        <v>30</v>
      </c>
      <c r="E1338" s="4">
        <v>6</v>
      </c>
      <c r="F1338" s="4">
        <v>1794</v>
      </c>
      <c r="G1338" s="3" t="s">
        <v>19</v>
      </c>
      <c r="H1338">
        <v>10764</v>
      </c>
      <c r="I1338">
        <v>8426.4243380000007</v>
      </c>
      <c r="J1338">
        <v>2337.5756620000002</v>
      </c>
      <c r="K1338" s="5">
        <f>IF(Table1[[#This Row],[Revenue]]=0, 0, Table1[[#This Row],[Profit]]/Table1[[#This Row],[Revenue]])</f>
        <v>0.2171660778520996</v>
      </c>
    </row>
    <row r="1339" spans="1:11" x14ac:dyDescent="0.35">
      <c r="A1339" s="1">
        <v>45603</v>
      </c>
      <c r="B1339" s="3" t="s">
        <v>20</v>
      </c>
      <c r="C1339" s="3" t="s">
        <v>22</v>
      </c>
      <c r="D1339" s="3" t="s">
        <v>12</v>
      </c>
      <c r="E1339" s="4">
        <v>10</v>
      </c>
      <c r="F1339" s="4">
        <v>1677</v>
      </c>
      <c r="G1339" s="3" t="s">
        <v>13</v>
      </c>
      <c r="H1339">
        <v>16770</v>
      </c>
      <c r="I1339">
        <v>10689.222089999999</v>
      </c>
      <c r="J1339">
        <v>6080.7779090000004</v>
      </c>
      <c r="K1339" s="5">
        <f>IF(Table1[[#This Row],[Revenue]]=0, 0, Table1[[#This Row],[Profit]]/Table1[[#This Row],[Revenue]])</f>
        <v>0.36259856344663088</v>
      </c>
    </row>
    <row r="1340" spans="1:11" x14ac:dyDescent="0.35">
      <c r="A1340" s="1">
        <v>45580</v>
      </c>
      <c r="B1340" s="3" t="s">
        <v>27</v>
      </c>
      <c r="C1340" s="3" t="s">
        <v>28</v>
      </c>
      <c r="D1340" s="3" t="s">
        <v>32</v>
      </c>
      <c r="E1340" s="4">
        <v>18</v>
      </c>
      <c r="F1340" s="4">
        <v>858</v>
      </c>
      <c r="G1340" s="3" t="s">
        <v>16</v>
      </c>
      <c r="H1340">
        <v>15444</v>
      </c>
      <c r="I1340">
        <v>9629.9607720000004</v>
      </c>
      <c r="J1340">
        <v>5814.0392279999996</v>
      </c>
      <c r="K1340" s="5">
        <f>IF(Table1[[#This Row],[Revenue]]=0, 0, Table1[[#This Row],[Profit]]/Table1[[#This Row],[Revenue]])</f>
        <v>0.37645941647241643</v>
      </c>
    </row>
    <row r="1341" spans="1:11" x14ac:dyDescent="0.35">
      <c r="A1341" s="1">
        <v>45530</v>
      </c>
      <c r="B1341" s="3" t="s">
        <v>23</v>
      </c>
      <c r="C1341" s="3" t="s">
        <v>11</v>
      </c>
      <c r="D1341" s="3" t="s">
        <v>25</v>
      </c>
      <c r="E1341" s="4">
        <v>17</v>
      </c>
      <c r="F1341" s="4">
        <v>544</v>
      </c>
      <c r="G1341" s="3" t="s">
        <v>13</v>
      </c>
      <c r="H1341">
        <v>9248</v>
      </c>
      <c r="I1341">
        <v>7568.2923719999999</v>
      </c>
      <c r="J1341">
        <v>1679.7076280000001</v>
      </c>
      <c r="K1341" s="5">
        <f>IF(Table1[[#This Row],[Revenue]]=0, 0, Table1[[#This Row],[Profit]]/Table1[[#This Row],[Revenue]])</f>
        <v>0.1816292850346021</v>
      </c>
    </row>
    <row r="1342" spans="1:11" x14ac:dyDescent="0.35">
      <c r="A1342" s="1">
        <v>45439</v>
      </c>
      <c r="B1342" s="3" t="s">
        <v>20</v>
      </c>
      <c r="C1342" s="3" t="s">
        <v>31</v>
      </c>
      <c r="D1342" s="3" t="s">
        <v>29</v>
      </c>
      <c r="E1342" s="4">
        <v>15</v>
      </c>
      <c r="F1342" s="4">
        <v>1449</v>
      </c>
      <c r="G1342" s="3" t="s">
        <v>19</v>
      </c>
      <c r="H1342">
        <v>21735</v>
      </c>
      <c r="I1342">
        <v>19358.977900000002</v>
      </c>
      <c r="J1342">
        <v>2376.022097</v>
      </c>
      <c r="K1342" s="5">
        <f>IF(Table1[[#This Row],[Revenue]]=0, 0, Table1[[#This Row],[Profit]]/Table1[[#This Row],[Revenue]])</f>
        <v>0.10931778684149988</v>
      </c>
    </row>
    <row r="1343" spans="1:11" x14ac:dyDescent="0.35">
      <c r="A1343" s="1">
        <v>45518</v>
      </c>
      <c r="B1343" s="3" t="s">
        <v>23</v>
      </c>
      <c r="C1343" s="3" t="s">
        <v>26</v>
      </c>
      <c r="D1343" s="3" t="s">
        <v>32</v>
      </c>
      <c r="E1343" s="4">
        <v>6</v>
      </c>
      <c r="F1343" s="4">
        <v>1969</v>
      </c>
      <c r="G1343" s="3" t="s">
        <v>19</v>
      </c>
      <c r="H1343">
        <v>11814</v>
      </c>
      <c r="I1343">
        <v>9107.1159189999998</v>
      </c>
      <c r="J1343">
        <v>2706.8840810000002</v>
      </c>
      <c r="K1343" s="5">
        <f>IF(Table1[[#This Row],[Revenue]]=0, 0, Table1[[#This Row],[Profit]]/Table1[[#This Row],[Revenue]])</f>
        <v>0.22912511266294228</v>
      </c>
    </row>
    <row r="1344" spans="1:11" x14ac:dyDescent="0.35">
      <c r="A1344" s="1">
        <v>45535</v>
      </c>
      <c r="B1344" s="3" t="s">
        <v>10</v>
      </c>
      <c r="C1344" s="3" t="s">
        <v>31</v>
      </c>
      <c r="D1344" s="3" t="s">
        <v>18</v>
      </c>
      <c r="E1344" s="4">
        <v>16</v>
      </c>
      <c r="F1344" s="4">
        <v>807</v>
      </c>
      <c r="G1344" s="3" t="s">
        <v>19</v>
      </c>
      <c r="H1344">
        <v>12912</v>
      </c>
      <c r="I1344">
        <v>8658.1501329999992</v>
      </c>
      <c r="J1344">
        <v>4253.8498669999999</v>
      </c>
      <c r="K1344" s="5">
        <f>IF(Table1[[#This Row],[Revenue]]=0, 0, Table1[[#This Row],[Profit]]/Table1[[#This Row],[Revenue]])</f>
        <v>0.32944933914188351</v>
      </c>
    </row>
    <row r="1345" spans="1:11" x14ac:dyDescent="0.35">
      <c r="A1345" s="1">
        <v>45628</v>
      </c>
      <c r="B1345" s="3" t="s">
        <v>23</v>
      </c>
      <c r="C1345" s="3" t="s">
        <v>17</v>
      </c>
      <c r="D1345" s="3" t="s">
        <v>15</v>
      </c>
      <c r="E1345" s="4">
        <v>17</v>
      </c>
      <c r="F1345" s="4">
        <v>701</v>
      </c>
      <c r="G1345" s="3" t="s">
        <v>19</v>
      </c>
      <c r="H1345">
        <v>11917</v>
      </c>
      <c r="I1345">
        <v>10164.747170000001</v>
      </c>
      <c r="J1345">
        <v>1752.2528299999999</v>
      </c>
      <c r="K1345" s="5">
        <f>IF(Table1[[#This Row],[Revenue]]=0, 0, Table1[[#This Row],[Profit]]/Table1[[#This Row],[Revenue]])</f>
        <v>0.14703808257111689</v>
      </c>
    </row>
    <row r="1346" spans="1:11" x14ac:dyDescent="0.35">
      <c r="A1346" s="1">
        <v>45656</v>
      </c>
      <c r="B1346" s="3" t="s">
        <v>23</v>
      </c>
      <c r="C1346" s="3" t="s">
        <v>31</v>
      </c>
      <c r="D1346" s="3" t="s">
        <v>25</v>
      </c>
      <c r="E1346" s="4">
        <v>3</v>
      </c>
      <c r="F1346" s="4">
        <v>1746</v>
      </c>
      <c r="G1346" s="3" t="s">
        <v>19</v>
      </c>
      <c r="H1346">
        <v>5238</v>
      </c>
      <c r="I1346">
        <v>4483.3666430000003</v>
      </c>
      <c r="J1346">
        <v>754.63335659999996</v>
      </c>
      <c r="K1346" s="5">
        <f>IF(Table1[[#This Row],[Revenue]]=0, 0, Table1[[#This Row],[Profit]]/Table1[[#This Row],[Revenue]])</f>
        <v>0.14406898751431843</v>
      </c>
    </row>
    <row r="1347" spans="1:11" x14ac:dyDescent="0.35">
      <c r="A1347" s="1">
        <v>45492</v>
      </c>
      <c r="B1347" s="3" t="s">
        <v>27</v>
      </c>
      <c r="C1347" s="3" t="s">
        <v>14</v>
      </c>
      <c r="D1347" s="3" t="s">
        <v>30</v>
      </c>
      <c r="E1347" s="4">
        <v>10</v>
      </c>
      <c r="F1347" s="4">
        <v>1482</v>
      </c>
      <c r="G1347" s="3" t="s">
        <v>16</v>
      </c>
      <c r="H1347">
        <v>14820</v>
      </c>
      <c r="I1347">
        <v>12149.96643</v>
      </c>
      <c r="J1347">
        <v>2670.0335669999999</v>
      </c>
      <c r="K1347" s="5">
        <f>IF(Table1[[#This Row],[Revenue]]=0, 0, Table1[[#This Row],[Profit]]/Table1[[#This Row],[Revenue]])</f>
        <v>0.18016420829959515</v>
      </c>
    </row>
    <row r="1348" spans="1:11" x14ac:dyDescent="0.35">
      <c r="A1348" s="1">
        <v>45445</v>
      </c>
      <c r="B1348" s="3" t="s">
        <v>23</v>
      </c>
      <c r="C1348" s="3" t="s">
        <v>22</v>
      </c>
      <c r="D1348" s="3" t="s">
        <v>15</v>
      </c>
      <c r="E1348" s="4">
        <v>5</v>
      </c>
      <c r="F1348" s="4">
        <v>244</v>
      </c>
      <c r="G1348" s="3" t="s">
        <v>13</v>
      </c>
      <c r="H1348">
        <v>1220</v>
      </c>
      <c r="I1348">
        <v>957.13837960000001</v>
      </c>
      <c r="J1348">
        <v>262.86162039999999</v>
      </c>
      <c r="K1348" s="5">
        <f>IF(Table1[[#This Row],[Revenue]]=0, 0, Table1[[#This Row],[Profit]]/Table1[[#This Row],[Revenue]])</f>
        <v>0.21546034459016392</v>
      </c>
    </row>
    <row r="1349" spans="1:11" x14ac:dyDescent="0.35">
      <c r="A1349" s="1">
        <v>45364</v>
      </c>
      <c r="B1349" s="3" t="s">
        <v>20</v>
      </c>
      <c r="C1349" s="3" t="s">
        <v>26</v>
      </c>
      <c r="D1349" s="3" t="s">
        <v>30</v>
      </c>
      <c r="E1349" s="4">
        <v>14</v>
      </c>
      <c r="F1349" s="4">
        <v>374</v>
      </c>
      <c r="G1349" s="3" t="s">
        <v>19</v>
      </c>
      <c r="H1349">
        <v>5236</v>
      </c>
      <c r="I1349">
        <v>4504.7283880000005</v>
      </c>
      <c r="J1349">
        <v>731.27161209999997</v>
      </c>
      <c r="K1349" s="5">
        <f>IF(Table1[[#This Row],[Revenue]]=0, 0, Table1[[#This Row],[Profit]]/Table1[[#This Row],[Revenue]])</f>
        <v>0.139662263579068</v>
      </c>
    </row>
    <row r="1350" spans="1:11" x14ac:dyDescent="0.35">
      <c r="A1350" s="1">
        <v>45492</v>
      </c>
      <c r="B1350" s="3" t="s">
        <v>27</v>
      </c>
      <c r="C1350" s="3" t="s">
        <v>31</v>
      </c>
      <c r="D1350" s="3" t="s">
        <v>30</v>
      </c>
      <c r="E1350" s="4">
        <v>13</v>
      </c>
      <c r="F1350" s="4">
        <v>608</v>
      </c>
      <c r="G1350" s="3" t="s">
        <v>19</v>
      </c>
      <c r="H1350">
        <v>7904</v>
      </c>
      <c r="I1350">
        <v>5129.5972359999996</v>
      </c>
      <c r="J1350">
        <v>2774.4027639999999</v>
      </c>
      <c r="K1350" s="5">
        <f>IF(Table1[[#This Row],[Revenue]]=0, 0, Table1[[#This Row],[Profit]]/Table1[[#This Row],[Revenue]])</f>
        <v>0.35101249544534413</v>
      </c>
    </row>
    <row r="1351" spans="1:11" x14ac:dyDescent="0.35">
      <c r="A1351" s="1">
        <v>45587</v>
      </c>
      <c r="B1351" s="3" t="s">
        <v>10</v>
      </c>
      <c r="C1351" s="3" t="s">
        <v>26</v>
      </c>
      <c r="D1351" s="3" t="s">
        <v>15</v>
      </c>
      <c r="E1351" s="4">
        <v>6</v>
      </c>
      <c r="F1351" s="4">
        <v>1302</v>
      </c>
      <c r="G1351" s="3" t="s">
        <v>19</v>
      </c>
      <c r="H1351">
        <v>7812</v>
      </c>
      <c r="I1351">
        <v>6870.4980560000004</v>
      </c>
      <c r="J1351">
        <v>941.50194390000001</v>
      </c>
      <c r="K1351" s="5">
        <f>IF(Table1[[#This Row],[Revenue]]=0, 0, Table1[[#This Row],[Profit]]/Table1[[#This Row],[Revenue]])</f>
        <v>0.12051996209677419</v>
      </c>
    </row>
    <row r="1352" spans="1:11" x14ac:dyDescent="0.35">
      <c r="A1352" s="1">
        <v>45308</v>
      </c>
      <c r="B1352" s="3" t="s">
        <v>20</v>
      </c>
      <c r="C1352" s="3" t="s">
        <v>26</v>
      </c>
      <c r="D1352" s="3" t="s">
        <v>25</v>
      </c>
      <c r="E1352" s="4">
        <v>12</v>
      </c>
      <c r="F1352" s="4">
        <v>852</v>
      </c>
      <c r="G1352" s="3" t="s">
        <v>19</v>
      </c>
      <c r="H1352">
        <v>10224</v>
      </c>
      <c r="I1352">
        <v>9039.6614989999998</v>
      </c>
      <c r="J1352">
        <v>1184.338501</v>
      </c>
      <c r="K1352" s="5">
        <f>IF(Table1[[#This Row],[Revenue]]=0, 0, Table1[[#This Row],[Profit]]/Table1[[#This Row],[Revenue]])</f>
        <v>0.11583905526212832</v>
      </c>
    </row>
    <row r="1353" spans="1:11" x14ac:dyDescent="0.35">
      <c r="A1353" s="1">
        <v>45420</v>
      </c>
      <c r="B1353" s="3" t="s">
        <v>10</v>
      </c>
      <c r="C1353" s="3" t="s">
        <v>17</v>
      </c>
      <c r="D1353" s="3" t="s">
        <v>12</v>
      </c>
      <c r="E1353" s="4">
        <v>8</v>
      </c>
      <c r="F1353" s="4">
        <v>1961</v>
      </c>
      <c r="G1353" s="3" t="s">
        <v>19</v>
      </c>
      <c r="H1353">
        <v>15688</v>
      </c>
      <c r="I1353">
        <v>13516.744909999999</v>
      </c>
      <c r="J1353">
        <v>2171.255091</v>
      </c>
      <c r="K1353" s="5">
        <f>IF(Table1[[#This Row],[Revenue]]=0, 0, Table1[[#This Row],[Profit]]/Table1[[#This Row],[Revenue]])</f>
        <v>0.13840228779959204</v>
      </c>
    </row>
    <row r="1354" spans="1:11" x14ac:dyDescent="0.35">
      <c r="A1354" s="1">
        <v>45508</v>
      </c>
      <c r="B1354" s="3" t="s">
        <v>23</v>
      </c>
      <c r="C1354" s="3" t="s">
        <v>17</v>
      </c>
      <c r="D1354" s="3" t="s">
        <v>15</v>
      </c>
      <c r="E1354" s="4">
        <v>5</v>
      </c>
      <c r="F1354" s="4">
        <v>1954</v>
      </c>
      <c r="G1354" s="3" t="s">
        <v>19</v>
      </c>
      <c r="H1354">
        <v>9770</v>
      </c>
      <c r="I1354">
        <v>6596.6904240000003</v>
      </c>
      <c r="J1354">
        <v>3173.3095760000001</v>
      </c>
      <c r="K1354" s="5">
        <f>IF(Table1[[#This Row],[Revenue]]=0, 0, Table1[[#This Row],[Profit]]/Table1[[#This Row],[Revenue]])</f>
        <v>0.3248013895598772</v>
      </c>
    </row>
    <row r="1355" spans="1:11" x14ac:dyDescent="0.35">
      <c r="A1355" s="1">
        <v>45352</v>
      </c>
      <c r="B1355" s="3" t="s">
        <v>20</v>
      </c>
      <c r="C1355" s="3" t="s">
        <v>22</v>
      </c>
      <c r="D1355" s="3" t="s">
        <v>18</v>
      </c>
      <c r="E1355" s="4">
        <v>15</v>
      </c>
      <c r="F1355" s="4">
        <v>576</v>
      </c>
      <c r="G1355" s="3" t="s">
        <v>13</v>
      </c>
      <c r="H1355">
        <v>8640</v>
      </c>
      <c r="I1355">
        <v>7408.3983770000004</v>
      </c>
      <c r="J1355">
        <v>1231.601623</v>
      </c>
      <c r="K1355" s="5">
        <f>IF(Table1[[#This Row],[Revenue]]=0, 0, Table1[[#This Row],[Profit]]/Table1[[#This Row],[Revenue]])</f>
        <v>0.14254648414351853</v>
      </c>
    </row>
    <row r="1356" spans="1:11" x14ac:dyDescent="0.35">
      <c r="A1356" s="1">
        <v>45395</v>
      </c>
      <c r="B1356" s="3" t="s">
        <v>20</v>
      </c>
      <c r="C1356" s="3" t="s">
        <v>11</v>
      </c>
      <c r="D1356" s="3" t="s">
        <v>32</v>
      </c>
      <c r="E1356" s="4">
        <v>16</v>
      </c>
      <c r="F1356" s="4">
        <v>1966</v>
      </c>
      <c r="G1356" s="3" t="s">
        <v>13</v>
      </c>
      <c r="H1356">
        <v>31456</v>
      </c>
      <c r="I1356">
        <v>23569.71228</v>
      </c>
      <c r="J1356">
        <v>7886.2877230000004</v>
      </c>
      <c r="K1356" s="5">
        <f>IF(Table1[[#This Row],[Revenue]]=0, 0, Table1[[#This Row],[Profit]]/Table1[[#This Row],[Revenue]])</f>
        <v>0.25070853646363173</v>
      </c>
    </row>
    <row r="1357" spans="1:11" x14ac:dyDescent="0.35">
      <c r="A1357" s="1">
        <v>45333</v>
      </c>
      <c r="B1357" s="3" t="s">
        <v>10</v>
      </c>
      <c r="C1357" s="3" t="s">
        <v>14</v>
      </c>
      <c r="D1357" s="3" t="s">
        <v>32</v>
      </c>
      <c r="E1357" s="4">
        <v>1</v>
      </c>
      <c r="F1357" s="4">
        <v>1537</v>
      </c>
      <c r="G1357" s="3" t="s">
        <v>16</v>
      </c>
      <c r="H1357">
        <v>1537</v>
      </c>
      <c r="I1357">
        <v>1196.522332</v>
      </c>
      <c r="J1357">
        <v>340.4776675</v>
      </c>
      <c r="K1357" s="5">
        <f>IF(Table1[[#This Row],[Revenue]]=0, 0, Table1[[#This Row],[Profit]]/Table1[[#This Row],[Revenue]])</f>
        <v>0.22152092875731946</v>
      </c>
    </row>
    <row r="1358" spans="1:11" x14ac:dyDescent="0.35">
      <c r="A1358" s="1">
        <v>45316</v>
      </c>
      <c r="B1358" s="3" t="s">
        <v>20</v>
      </c>
      <c r="C1358" s="3" t="s">
        <v>43</v>
      </c>
      <c r="D1358" s="3" t="s">
        <v>15</v>
      </c>
      <c r="E1358" s="4">
        <v>16</v>
      </c>
      <c r="F1358" s="4">
        <v>1276</v>
      </c>
      <c r="G1358" s="3" t="s">
        <v>16</v>
      </c>
      <c r="H1358">
        <v>20416</v>
      </c>
      <c r="I1358">
        <v>17398.110690000001</v>
      </c>
      <c r="J1358">
        <v>3017.8893069999999</v>
      </c>
      <c r="K1358" s="5">
        <f>IF(Table1[[#This Row],[Revenue]]=0, 0, Table1[[#This Row],[Profit]]/Table1[[#This Row],[Revenue]])</f>
        <v>0.14781981323471785</v>
      </c>
    </row>
    <row r="1359" spans="1:11" x14ac:dyDescent="0.35">
      <c r="A1359" s="1">
        <v>45330</v>
      </c>
      <c r="B1359" s="3" t="s">
        <v>20</v>
      </c>
      <c r="C1359" s="3" t="s">
        <v>26</v>
      </c>
      <c r="D1359" s="3" t="s">
        <v>18</v>
      </c>
      <c r="E1359" s="4">
        <v>5</v>
      </c>
      <c r="F1359" s="4">
        <v>1227</v>
      </c>
      <c r="G1359" s="3" t="s">
        <v>19</v>
      </c>
      <c r="H1359">
        <v>6135</v>
      </c>
      <c r="I1359">
        <v>3735.4472249999999</v>
      </c>
      <c r="J1359">
        <v>2399.5527750000001</v>
      </c>
      <c r="K1359" s="5">
        <f>IF(Table1[[#This Row],[Revenue]]=0, 0, Table1[[#This Row],[Profit]]/Table1[[#This Row],[Revenue]])</f>
        <v>0.39112514669926651</v>
      </c>
    </row>
    <row r="1360" spans="1:11" x14ac:dyDescent="0.35">
      <c r="A1360" s="1">
        <v>45582</v>
      </c>
      <c r="B1360" s="3" t="s">
        <v>20</v>
      </c>
      <c r="C1360" s="3" t="s">
        <v>11</v>
      </c>
      <c r="D1360" s="3" t="s">
        <v>44</v>
      </c>
      <c r="E1360" s="4">
        <v>3</v>
      </c>
      <c r="F1360" s="4">
        <v>1198</v>
      </c>
      <c r="G1360" s="3" t="s">
        <v>13</v>
      </c>
      <c r="H1360">
        <v>3594</v>
      </c>
      <c r="I1360">
        <v>2547.7247029999999</v>
      </c>
      <c r="J1360">
        <v>1046.2752969999999</v>
      </c>
      <c r="K1360" s="5">
        <f>IF(Table1[[#This Row],[Revenue]]=0, 0, Table1[[#This Row],[Profit]]/Table1[[#This Row],[Revenue]])</f>
        <v>0.29111722231496939</v>
      </c>
    </row>
    <row r="1361" spans="1:11" x14ac:dyDescent="0.35">
      <c r="A1361" s="1">
        <v>45422</v>
      </c>
      <c r="B1361" s="3" t="s">
        <v>23</v>
      </c>
      <c r="C1361" s="3" t="s">
        <v>28</v>
      </c>
      <c r="D1361" s="3" t="s">
        <v>32</v>
      </c>
      <c r="E1361" s="4">
        <v>15</v>
      </c>
      <c r="F1361" s="4">
        <v>1251</v>
      </c>
      <c r="G1361" s="3" t="s">
        <v>16</v>
      </c>
      <c r="H1361">
        <v>18765</v>
      </c>
      <c r="I1361">
        <v>15850.94587</v>
      </c>
      <c r="J1361">
        <v>2914.0541330000001</v>
      </c>
      <c r="K1361" s="5">
        <f>IF(Table1[[#This Row],[Revenue]]=0, 0, Table1[[#This Row],[Profit]]/Table1[[#This Row],[Revenue]])</f>
        <v>0.15529198683719692</v>
      </c>
    </row>
    <row r="1362" spans="1:11" x14ac:dyDescent="0.35">
      <c r="A1362" s="1">
        <v>45520</v>
      </c>
      <c r="B1362" s="3" t="s">
        <v>10</v>
      </c>
      <c r="C1362" s="3" t="s">
        <v>28</v>
      </c>
      <c r="D1362" s="3" t="s">
        <v>18</v>
      </c>
      <c r="E1362" s="4">
        <v>13</v>
      </c>
      <c r="F1362" s="4">
        <v>1834</v>
      </c>
      <c r="G1362" s="3" t="s">
        <v>16</v>
      </c>
      <c r="H1362">
        <v>23842</v>
      </c>
      <c r="I1362">
        <v>20127.092990000001</v>
      </c>
      <c r="J1362">
        <v>3714.907013</v>
      </c>
      <c r="K1362" s="5">
        <f>IF(Table1[[#This Row],[Revenue]]=0, 0, Table1[[#This Row],[Profit]]/Table1[[#This Row],[Revenue]])</f>
        <v>0.15581356484355338</v>
      </c>
    </row>
    <row r="1363" spans="1:11" x14ac:dyDescent="0.35">
      <c r="A1363" s="1">
        <v>45463</v>
      </c>
      <c r="B1363" s="3" t="s">
        <v>43</v>
      </c>
      <c r="C1363" s="3" t="s">
        <v>22</v>
      </c>
      <c r="D1363" s="3" t="s">
        <v>18</v>
      </c>
      <c r="E1363" s="4">
        <v>11</v>
      </c>
      <c r="F1363" s="4">
        <v>667</v>
      </c>
      <c r="G1363" s="3" t="s">
        <v>13</v>
      </c>
      <c r="H1363">
        <v>7337</v>
      </c>
      <c r="I1363">
        <v>4774.661118</v>
      </c>
      <c r="J1363">
        <v>2562.338882</v>
      </c>
      <c r="K1363" s="5">
        <f>IF(Table1[[#This Row],[Revenue]]=0, 0, Table1[[#This Row],[Profit]]/Table1[[#This Row],[Revenue]])</f>
        <v>0.34923522993048928</v>
      </c>
    </row>
    <row r="1364" spans="1:11" x14ac:dyDescent="0.35">
      <c r="A1364" s="1">
        <v>45393</v>
      </c>
      <c r="B1364" s="3" t="s">
        <v>27</v>
      </c>
      <c r="C1364" s="3" t="s">
        <v>28</v>
      </c>
      <c r="D1364" s="3" t="s">
        <v>30</v>
      </c>
      <c r="E1364" s="4">
        <v>2</v>
      </c>
      <c r="F1364" s="4">
        <v>1913</v>
      </c>
      <c r="G1364" s="3" t="s">
        <v>16</v>
      </c>
      <c r="H1364">
        <v>3826</v>
      </c>
      <c r="I1364">
        <v>3105.81666</v>
      </c>
      <c r="J1364">
        <v>720.18333959999995</v>
      </c>
      <c r="K1364" s="5">
        <f>IF(Table1[[#This Row],[Revenue]]=0, 0, Table1[[#This Row],[Profit]]/Table1[[#This Row],[Revenue]])</f>
        <v>0.18823401453214844</v>
      </c>
    </row>
    <row r="1365" spans="1:11" x14ac:dyDescent="0.35">
      <c r="A1365" s="1">
        <v>45645</v>
      </c>
      <c r="B1365" s="3" t="s">
        <v>27</v>
      </c>
      <c r="C1365" s="3" t="s">
        <v>14</v>
      </c>
      <c r="D1365" s="3" t="s">
        <v>32</v>
      </c>
      <c r="E1365" s="4">
        <v>6</v>
      </c>
      <c r="F1365" s="4">
        <v>1468</v>
      </c>
      <c r="G1365" s="3" t="s">
        <v>16</v>
      </c>
      <c r="H1365">
        <v>8808</v>
      </c>
      <c r="I1365">
        <v>5671.920427</v>
      </c>
      <c r="J1365">
        <v>3136.079573</v>
      </c>
      <c r="K1365" s="5">
        <f>IF(Table1[[#This Row],[Revenue]]=0, 0, Table1[[#This Row],[Profit]]/Table1[[#This Row],[Revenue]])</f>
        <v>0.35604899784287014</v>
      </c>
    </row>
    <row r="1366" spans="1:11" x14ac:dyDescent="0.35">
      <c r="A1366" s="1">
        <v>45303</v>
      </c>
      <c r="B1366" s="3" t="s">
        <v>27</v>
      </c>
      <c r="C1366" s="3" t="s">
        <v>28</v>
      </c>
      <c r="D1366" s="3" t="s">
        <v>12</v>
      </c>
      <c r="E1366" s="4">
        <v>6</v>
      </c>
      <c r="F1366" s="4">
        <v>630</v>
      </c>
      <c r="G1366" s="3" t="s">
        <v>16</v>
      </c>
      <c r="H1366">
        <v>3780</v>
      </c>
      <c r="I1366">
        <v>3158.3011419999998</v>
      </c>
      <c r="J1366">
        <v>621.69885780000004</v>
      </c>
      <c r="K1366" s="5">
        <f>IF(Table1[[#This Row],[Revenue]]=0, 0, Table1[[#This Row],[Profit]]/Table1[[#This Row],[Revenue]])</f>
        <v>0.16447059730158731</v>
      </c>
    </row>
    <row r="1367" spans="1:11" x14ac:dyDescent="0.35">
      <c r="A1367" s="1">
        <v>45566</v>
      </c>
      <c r="B1367" s="3" t="s">
        <v>23</v>
      </c>
      <c r="C1367" s="3" t="s">
        <v>26</v>
      </c>
      <c r="D1367" s="3" t="s">
        <v>32</v>
      </c>
      <c r="E1367" s="4">
        <v>14</v>
      </c>
      <c r="F1367" s="4">
        <v>258</v>
      </c>
      <c r="G1367" s="3" t="s">
        <v>19</v>
      </c>
      <c r="H1367">
        <v>3612</v>
      </c>
      <c r="I1367">
        <v>2432.818538</v>
      </c>
      <c r="J1367">
        <v>1179.181462</v>
      </c>
      <c r="K1367" s="5">
        <f>IF(Table1[[#This Row],[Revenue]]=0, 0, Table1[[#This Row],[Profit]]/Table1[[#This Row],[Revenue]])</f>
        <v>0.3264621987818383</v>
      </c>
    </row>
    <row r="1368" spans="1:11" x14ac:dyDescent="0.35">
      <c r="A1368" s="1">
        <v>45392</v>
      </c>
      <c r="B1368" s="3" t="s">
        <v>20</v>
      </c>
      <c r="C1368" s="3" t="s">
        <v>26</v>
      </c>
      <c r="D1368" s="3" t="s">
        <v>30</v>
      </c>
      <c r="E1368" s="4">
        <v>11</v>
      </c>
      <c r="F1368" s="4">
        <v>1661</v>
      </c>
      <c r="G1368" s="3" t="s">
        <v>19</v>
      </c>
      <c r="H1368">
        <v>18271</v>
      </c>
      <c r="I1368">
        <v>15006.800310000001</v>
      </c>
      <c r="J1368">
        <v>3264.1996899999999</v>
      </c>
      <c r="K1368" s="5">
        <f>IF(Table1[[#This Row],[Revenue]]=0, 0, Table1[[#This Row],[Profit]]/Table1[[#This Row],[Revenue]])</f>
        <v>0.17865468173608451</v>
      </c>
    </row>
    <row r="1369" spans="1:11" x14ac:dyDescent="0.35">
      <c r="A1369" s="1">
        <v>45335</v>
      </c>
      <c r="B1369" s="3" t="s">
        <v>10</v>
      </c>
      <c r="C1369" s="3" t="s">
        <v>24</v>
      </c>
      <c r="D1369" s="3" t="s">
        <v>15</v>
      </c>
      <c r="E1369" s="4">
        <v>8</v>
      </c>
      <c r="F1369" s="4">
        <v>1549</v>
      </c>
      <c r="G1369" s="3" t="s">
        <v>19</v>
      </c>
      <c r="H1369">
        <v>12392</v>
      </c>
      <c r="I1369">
        <v>9126.7140170000002</v>
      </c>
      <c r="J1369">
        <v>3265.2859830000002</v>
      </c>
      <c r="K1369" s="5">
        <f>IF(Table1[[#This Row],[Revenue]]=0, 0, Table1[[#This Row],[Profit]]/Table1[[#This Row],[Revenue]])</f>
        <v>0.26349951444480313</v>
      </c>
    </row>
    <row r="1370" spans="1:11" x14ac:dyDescent="0.35">
      <c r="A1370" s="1">
        <v>45596</v>
      </c>
      <c r="B1370" s="3" t="s">
        <v>20</v>
      </c>
      <c r="C1370" s="3" t="s">
        <v>11</v>
      </c>
      <c r="D1370" s="3" t="s">
        <v>30</v>
      </c>
      <c r="E1370" s="4">
        <v>8</v>
      </c>
      <c r="F1370" s="4">
        <v>780</v>
      </c>
      <c r="G1370" s="3" t="s">
        <v>13</v>
      </c>
      <c r="H1370">
        <v>6240</v>
      </c>
      <c r="I1370">
        <v>5590.2852059999996</v>
      </c>
      <c r="J1370">
        <v>649.71479439999996</v>
      </c>
      <c r="K1370" s="5">
        <f>IF(Table1[[#This Row],[Revenue]]=0, 0, Table1[[#This Row],[Profit]]/Table1[[#This Row],[Revenue]])</f>
        <v>0.10412096064102563</v>
      </c>
    </row>
    <row r="1371" spans="1:11" x14ac:dyDescent="0.35">
      <c r="A1371" s="1">
        <v>45308</v>
      </c>
      <c r="B1371" s="3" t="s">
        <v>23</v>
      </c>
      <c r="C1371" s="3" t="s">
        <v>31</v>
      </c>
      <c r="D1371" s="3" t="s">
        <v>32</v>
      </c>
      <c r="E1371" s="4">
        <v>1</v>
      </c>
      <c r="F1371" s="4">
        <v>122</v>
      </c>
      <c r="G1371" s="3" t="s">
        <v>19</v>
      </c>
      <c r="H1371">
        <v>122</v>
      </c>
      <c r="I1371">
        <v>94.424114209999999</v>
      </c>
      <c r="J1371">
        <v>27.575885790000001</v>
      </c>
      <c r="K1371" s="5">
        <f>IF(Table1[[#This Row],[Revenue]]=0, 0, Table1[[#This Row],[Profit]]/Table1[[#This Row],[Revenue]])</f>
        <v>0.22603185073770493</v>
      </c>
    </row>
    <row r="1372" spans="1:11" x14ac:dyDescent="0.35">
      <c r="A1372" s="1">
        <v>45621</v>
      </c>
      <c r="B1372" s="3" t="s">
        <v>27</v>
      </c>
      <c r="C1372" s="3" t="s">
        <v>14</v>
      </c>
      <c r="D1372" s="3" t="s">
        <v>32</v>
      </c>
      <c r="E1372" s="4">
        <v>7</v>
      </c>
      <c r="F1372" s="4">
        <v>1170</v>
      </c>
      <c r="G1372" s="3" t="s">
        <v>16</v>
      </c>
      <c r="H1372">
        <v>8190</v>
      </c>
      <c r="I1372">
        <v>6468.2474979999997</v>
      </c>
      <c r="J1372">
        <v>1721.752502</v>
      </c>
      <c r="K1372" s="5">
        <f>IF(Table1[[#This Row],[Revenue]]=0, 0, Table1[[#This Row],[Profit]]/Table1[[#This Row],[Revenue]])</f>
        <v>0.21022619072039073</v>
      </c>
    </row>
    <row r="1373" spans="1:11" x14ac:dyDescent="0.35">
      <c r="A1373" s="1">
        <v>45348</v>
      </c>
      <c r="B1373" s="3" t="s">
        <v>23</v>
      </c>
      <c r="C1373" s="3" t="s">
        <v>17</v>
      </c>
      <c r="D1373" s="3" t="s">
        <v>25</v>
      </c>
      <c r="E1373" s="4">
        <v>6</v>
      </c>
      <c r="F1373" s="4">
        <v>624</v>
      </c>
      <c r="G1373" s="3" t="s">
        <v>19</v>
      </c>
      <c r="H1373">
        <v>3744</v>
      </c>
      <c r="I1373">
        <v>2659.9212590000002</v>
      </c>
      <c r="J1373">
        <v>1084.078741</v>
      </c>
      <c r="K1373" s="5">
        <f>IF(Table1[[#This Row],[Revenue]]=0, 0, Table1[[#This Row],[Profit]]/Table1[[#This Row],[Revenue]])</f>
        <v>0.28955094577991453</v>
      </c>
    </row>
    <row r="1374" spans="1:11" x14ac:dyDescent="0.35">
      <c r="A1374" s="1">
        <v>45602</v>
      </c>
      <c r="B1374" s="3" t="s">
        <v>20</v>
      </c>
      <c r="C1374" s="3" t="s">
        <v>14</v>
      </c>
      <c r="D1374" s="3" t="s">
        <v>12</v>
      </c>
      <c r="E1374" s="4">
        <v>8</v>
      </c>
      <c r="F1374" s="4">
        <v>828</v>
      </c>
      <c r="G1374" s="3" t="s">
        <v>16</v>
      </c>
      <c r="H1374">
        <v>6624</v>
      </c>
      <c r="I1374">
        <v>5434.038458</v>
      </c>
      <c r="J1374">
        <v>1189.961542</v>
      </c>
      <c r="K1374" s="5">
        <f>IF(Table1[[#This Row],[Revenue]]=0, 0, Table1[[#This Row],[Profit]]/Table1[[#This Row],[Revenue]])</f>
        <v>0.17964395259661836</v>
      </c>
    </row>
    <row r="1375" spans="1:11" x14ac:dyDescent="0.35">
      <c r="A1375" s="1">
        <v>45594</v>
      </c>
      <c r="B1375" s="3" t="s">
        <v>10</v>
      </c>
      <c r="C1375" s="3" t="s">
        <v>31</v>
      </c>
      <c r="D1375" s="3" t="s">
        <v>15</v>
      </c>
      <c r="E1375" s="4">
        <v>19</v>
      </c>
      <c r="F1375" s="4">
        <v>1957</v>
      </c>
      <c r="G1375" s="3" t="s">
        <v>19</v>
      </c>
      <c r="H1375">
        <v>37183</v>
      </c>
      <c r="I1375">
        <v>27830.199840000001</v>
      </c>
      <c r="J1375">
        <v>9352.8001619999995</v>
      </c>
      <c r="K1375" s="5">
        <f>IF(Table1[[#This Row],[Revenue]]=0, 0, Table1[[#This Row],[Profit]]/Table1[[#This Row],[Revenue]])</f>
        <v>0.25153430766748242</v>
      </c>
    </row>
    <row r="1376" spans="1:11" x14ac:dyDescent="0.35">
      <c r="A1376" s="1">
        <v>45303</v>
      </c>
      <c r="B1376" s="3" t="s">
        <v>23</v>
      </c>
      <c r="C1376" s="3" t="s">
        <v>11</v>
      </c>
      <c r="D1376" s="3" t="s">
        <v>30</v>
      </c>
      <c r="E1376" s="4">
        <v>8</v>
      </c>
      <c r="F1376" s="4">
        <v>1829</v>
      </c>
      <c r="G1376" s="3" t="s">
        <v>13</v>
      </c>
      <c r="H1376">
        <v>14632</v>
      </c>
      <c r="I1376">
        <v>8858.5053009999992</v>
      </c>
      <c r="J1376">
        <v>5773.4946989999999</v>
      </c>
      <c r="K1376" s="5">
        <f>IF(Table1[[#This Row],[Revenue]]=0, 0, Table1[[#This Row],[Profit]]/Table1[[#This Row],[Revenue]])</f>
        <v>0.3945800094997266</v>
      </c>
    </row>
    <row r="1377" spans="1:11" x14ac:dyDescent="0.35">
      <c r="A1377" s="1">
        <v>45609</v>
      </c>
      <c r="B1377" s="3" t="s">
        <v>10</v>
      </c>
      <c r="C1377" s="3" t="s">
        <v>17</v>
      </c>
      <c r="D1377" s="3" t="s">
        <v>12</v>
      </c>
      <c r="E1377" s="4">
        <v>14</v>
      </c>
      <c r="F1377" s="4">
        <v>243</v>
      </c>
      <c r="G1377" s="3" t="s">
        <v>19</v>
      </c>
      <c r="H1377">
        <v>3402</v>
      </c>
      <c r="I1377">
        <v>2662.3183789999998</v>
      </c>
      <c r="J1377">
        <v>739.6816212</v>
      </c>
      <c r="K1377" s="5">
        <f>IF(Table1[[#This Row],[Revenue]]=0, 0, Table1[[#This Row],[Profit]]/Table1[[#This Row],[Revenue]])</f>
        <v>0.21742552063492063</v>
      </c>
    </row>
    <row r="1378" spans="1:11" x14ac:dyDescent="0.35">
      <c r="A1378" s="1">
        <v>45371</v>
      </c>
      <c r="B1378" s="3" t="s">
        <v>23</v>
      </c>
      <c r="C1378" s="3" t="s">
        <v>31</v>
      </c>
      <c r="D1378" s="3" t="s">
        <v>29</v>
      </c>
      <c r="E1378" s="4">
        <v>18</v>
      </c>
      <c r="F1378" s="4">
        <v>1708</v>
      </c>
      <c r="G1378" s="3" t="s">
        <v>19</v>
      </c>
      <c r="H1378">
        <v>30744</v>
      </c>
      <c r="I1378">
        <v>26105.89489</v>
      </c>
      <c r="J1378">
        <v>4638.105106</v>
      </c>
      <c r="K1378" s="5">
        <f>IF(Table1[[#This Row],[Revenue]]=0, 0, Table1[[#This Row],[Profit]]/Table1[[#This Row],[Revenue]])</f>
        <v>0.15086212288576634</v>
      </c>
    </row>
    <row r="1379" spans="1:11" x14ac:dyDescent="0.35">
      <c r="A1379" s="1">
        <v>45507</v>
      </c>
      <c r="B1379" s="3" t="s">
        <v>10</v>
      </c>
      <c r="C1379" s="3" t="s">
        <v>24</v>
      </c>
      <c r="D1379" s="3" t="s">
        <v>12</v>
      </c>
      <c r="E1379" s="4">
        <v>16</v>
      </c>
      <c r="F1379" s="4">
        <v>767</v>
      </c>
      <c r="G1379" s="3" t="s">
        <v>19</v>
      </c>
      <c r="H1379">
        <v>12272</v>
      </c>
      <c r="I1379">
        <v>8235.0093969999998</v>
      </c>
      <c r="J1379">
        <v>4036.9906030000002</v>
      </c>
      <c r="K1379" s="5">
        <f>IF(Table1[[#This Row],[Revenue]]=0, 0, Table1[[#This Row],[Profit]]/Table1[[#This Row],[Revenue]])</f>
        <v>0.32895946895371581</v>
      </c>
    </row>
    <row r="1380" spans="1:11" x14ac:dyDescent="0.35">
      <c r="A1380" s="1">
        <v>45630</v>
      </c>
      <c r="B1380" s="3" t="s">
        <v>10</v>
      </c>
      <c r="C1380" s="3" t="s">
        <v>17</v>
      </c>
      <c r="D1380" s="3" t="s">
        <v>29</v>
      </c>
      <c r="E1380" s="4">
        <v>9</v>
      </c>
      <c r="F1380" s="4">
        <v>1712</v>
      </c>
      <c r="G1380" s="3" t="s">
        <v>19</v>
      </c>
      <c r="H1380">
        <v>15408</v>
      </c>
      <c r="I1380">
        <v>10266.6451</v>
      </c>
      <c r="J1380">
        <v>5141.3548979999996</v>
      </c>
      <c r="K1380" s="5">
        <f>IF(Table1[[#This Row],[Revenue]]=0, 0, Table1[[#This Row],[Profit]]/Table1[[#This Row],[Revenue]])</f>
        <v>0.33368087344236758</v>
      </c>
    </row>
    <row r="1381" spans="1:11" x14ac:dyDescent="0.35">
      <c r="A1381" s="1">
        <v>45555</v>
      </c>
      <c r="B1381" s="3" t="s">
        <v>27</v>
      </c>
      <c r="C1381" s="3" t="s">
        <v>26</v>
      </c>
      <c r="D1381" s="3" t="s">
        <v>15</v>
      </c>
      <c r="E1381" s="4">
        <v>15</v>
      </c>
      <c r="F1381" s="4">
        <v>1542</v>
      </c>
      <c r="G1381" s="3" t="s">
        <v>19</v>
      </c>
      <c r="H1381">
        <v>23130</v>
      </c>
      <c r="I1381">
        <v>18103.06122</v>
      </c>
      <c r="J1381">
        <v>5026.9387749999996</v>
      </c>
      <c r="K1381" s="5">
        <f>IF(Table1[[#This Row],[Revenue]]=0, 0, Table1[[#This Row],[Profit]]/Table1[[#This Row],[Revenue]])</f>
        <v>0.21733414504971896</v>
      </c>
    </row>
    <row r="1382" spans="1:11" x14ac:dyDescent="0.35">
      <c r="A1382" s="1">
        <v>45440</v>
      </c>
      <c r="B1382" s="3" t="s">
        <v>10</v>
      </c>
      <c r="C1382" s="3" t="s">
        <v>31</v>
      </c>
      <c r="D1382" s="3" t="s">
        <v>30</v>
      </c>
      <c r="E1382" s="4">
        <v>10</v>
      </c>
      <c r="F1382" s="4">
        <v>780</v>
      </c>
      <c r="G1382" s="3" t="s">
        <v>19</v>
      </c>
      <c r="H1382">
        <v>7800</v>
      </c>
      <c r="I1382">
        <v>6594.0715069999997</v>
      </c>
      <c r="J1382">
        <v>1205.9284929999999</v>
      </c>
      <c r="K1382" s="5">
        <f>IF(Table1[[#This Row],[Revenue]]=0, 0, Table1[[#This Row],[Profit]]/Table1[[#This Row],[Revenue]])</f>
        <v>0.15460621705128202</v>
      </c>
    </row>
    <row r="1383" spans="1:11" x14ac:dyDescent="0.35">
      <c r="A1383" s="1">
        <v>45372</v>
      </c>
      <c r="B1383" s="3" t="s">
        <v>27</v>
      </c>
      <c r="C1383" s="3" t="s">
        <v>14</v>
      </c>
      <c r="D1383" s="3" t="s">
        <v>30</v>
      </c>
      <c r="E1383" s="4">
        <v>16</v>
      </c>
      <c r="F1383" s="4">
        <v>1072</v>
      </c>
      <c r="G1383" s="3" t="s">
        <v>16</v>
      </c>
      <c r="H1383">
        <v>17152</v>
      </c>
      <c r="I1383">
        <v>11575.646409999999</v>
      </c>
      <c r="J1383">
        <v>5576.3535899999997</v>
      </c>
      <c r="K1383" s="5">
        <f>IF(Table1[[#This Row],[Revenue]]=0, 0, Table1[[#This Row],[Profit]]/Table1[[#This Row],[Revenue]])</f>
        <v>0.32511389867070895</v>
      </c>
    </row>
    <row r="1384" spans="1:11" x14ac:dyDescent="0.35">
      <c r="A1384" s="1">
        <v>45506</v>
      </c>
      <c r="B1384" s="3" t="s">
        <v>20</v>
      </c>
      <c r="C1384" s="3" t="s">
        <v>17</v>
      </c>
      <c r="D1384" s="3" t="s">
        <v>18</v>
      </c>
      <c r="E1384" s="4">
        <v>4</v>
      </c>
      <c r="F1384" s="4">
        <v>898</v>
      </c>
      <c r="G1384" s="3" t="s">
        <v>19</v>
      </c>
      <c r="H1384">
        <v>3592</v>
      </c>
      <c r="I1384">
        <v>3159.8062329999998</v>
      </c>
      <c r="J1384">
        <v>432.19376699999998</v>
      </c>
      <c r="K1384" s="5">
        <f>IF(Table1[[#This Row],[Revenue]]=0, 0, Table1[[#This Row],[Profit]]/Table1[[#This Row],[Revenue]])</f>
        <v>0.12032120462138084</v>
      </c>
    </row>
    <row r="1385" spans="1:11" x14ac:dyDescent="0.35">
      <c r="A1385" s="1">
        <v>45489</v>
      </c>
      <c r="B1385" s="3" t="s">
        <v>20</v>
      </c>
      <c r="C1385" s="3" t="s">
        <v>24</v>
      </c>
      <c r="D1385" s="3" t="s">
        <v>32</v>
      </c>
      <c r="E1385" s="4">
        <v>13</v>
      </c>
      <c r="F1385" s="4">
        <v>184</v>
      </c>
      <c r="G1385" s="3" t="s">
        <v>19</v>
      </c>
      <c r="H1385">
        <v>2392</v>
      </c>
      <c r="I1385">
        <v>2100.6931669999999</v>
      </c>
      <c r="J1385">
        <v>291.3068328</v>
      </c>
      <c r="K1385" s="5">
        <f>IF(Table1[[#This Row],[Revenue]]=0, 0, Table1[[#This Row],[Profit]]/Table1[[#This Row],[Revenue]])</f>
        <v>0.12178379297658863</v>
      </c>
    </row>
    <row r="1386" spans="1:11" x14ac:dyDescent="0.35">
      <c r="A1386" s="1">
        <v>45491</v>
      </c>
      <c r="B1386" s="3" t="s">
        <v>27</v>
      </c>
      <c r="C1386" s="3" t="s">
        <v>14</v>
      </c>
      <c r="D1386" s="3" t="s">
        <v>21</v>
      </c>
      <c r="E1386" s="4">
        <v>5</v>
      </c>
      <c r="F1386" s="4">
        <v>515</v>
      </c>
      <c r="G1386" s="3" t="s">
        <v>16</v>
      </c>
      <c r="H1386">
        <v>2575</v>
      </c>
      <c r="I1386">
        <v>1699.914579</v>
      </c>
      <c r="J1386">
        <v>875.085421</v>
      </c>
      <c r="K1386" s="5">
        <f>IF(Table1[[#This Row],[Revenue]]=0, 0, Table1[[#This Row],[Profit]]/Table1[[#This Row],[Revenue]])</f>
        <v>0.33983899844660193</v>
      </c>
    </row>
    <row r="1387" spans="1:11" x14ac:dyDescent="0.35">
      <c r="A1387" s="1">
        <v>45316</v>
      </c>
      <c r="B1387" s="3" t="s">
        <v>27</v>
      </c>
      <c r="C1387" s="3" t="s">
        <v>28</v>
      </c>
      <c r="D1387" s="3" t="s">
        <v>25</v>
      </c>
      <c r="E1387" s="4">
        <v>7</v>
      </c>
      <c r="F1387" s="4">
        <v>793</v>
      </c>
      <c r="G1387" s="3" t="s">
        <v>16</v>
      </c>
      <c r="H1387">
        <v>5551</v>
      </c>
      <c r="I1387">
        <v>3769.880181</v>
      </c>
      <c r="J1387">
        <v>1781.119819</v>
      </c>
      <c r="K1387" s="5">
        <f>IF(Table1[[#This Row],[Revenue]]=0, 0, Table1[[#This Row],[Profit]]/Table1[[#This Row],[Revenue]])</f>
        <v>0.32086467645469285</v>
      </c>
    </row>
    <row r="1388" spans="1:11" x14ac:dyDescent="0.35">
      <c r="A1388" s="1">
        <v>45380</v>
      </c>
      <c r="B1388" s="3" t="s">
        <v>23</v>
      </c>
      <c r="C1388" s="3" t="s">
        <v>17</v>
      </c>
      <c r="D1388" s="3" t="s">
        <v>12</v>
      </c>
      <c r="E1388" s="4">
        <v>9</v>
      </c>
      <c r="F1388" s="4">
        <v>581</v>
      </c>
      <c r="G1388" s="3" t="s">
        <v>19</v>
      </c>
      <c r="H1388">
        <v>5229</v>
      </c>
      <c r="I1388">
        <v>4236.4293550000002</v>
      </c>
      <c r="J1388">
        <v>992.57064530000002</v>
      </c>
      <c r="K1388" s="5">
        <f>IF(Table1[[#This Row],[Revenue]]=0, 0, Table1[[#This Row],[Profit]]/Table1[[#This Row],[Revenue]])</f>
        <v>0.1898203567221266</v>
      </c>
    </row>
    <row r="1389" spans="1:11" x14ac:dyDescent="0.35">
      <c r="A1389" s="1">
        <v>45559</v>
      </c>
      <c r="B1389" s="3" t="s">
        <v>23</v>
      </c>
      <c r="C1389" s="3" t="s">
        <v>17</v>
      </c>
      <c r="D1389" s="3" t="s">
        <v>15</v>
      </c>
      <c r="E1389" s="4">
        <v>8</v>
      </c>
      <c r="F1389" s="4">
        <v>555</v>
      </c>
      <c r="G1389" s="3" t="s">
        <v>19</v>
      </c>
      <c r="H1389">
        <v>4440</v>
      </c>
      <c r="I1389">
        <v>3931.7085010000001</v>
      </c>
      <c r="J1389">
        <v>508.2914988</v>
      </c>
      <c r="K1389" s="5">
        <f>IF(Table1[[#This Row],[Revenue]]=0, 0, Table1[[#This Row],[Profit]]/Table1[[#This Row],[Revenue]])</f>
        <v>0.1144800672972973</v>
      </c>
    </row>
    <row r="1390" spans="1:11" x14ac:dyDescent="0.35">
      <c r="A1390" s="1">
        <v>45434</v>
      </c>
      <c r="B1390" s="3" t="s">
        <v>23</v>
      </c>
      <c r="C1390" s="3" t="s">
        <v>24</v>
      </c>
      <c r="D1390" s="3" t="s">
        <v>21</v>
      </c>
      <c r="E1390" s="4">
        <v>16</v>
      </c>
      <c r="F1390" s="4">
        <v>926</v>
      </c>
      <c r="G1390" s="3" t="s">
        <v>19</v>
      </c>
      <c r="H1390">
        <v>14816</v>
      </c>
      <c r="I1390">
        <v>12044.88658</v>
      </c>
      <c r="J1390">
        <v>2771.113425</v>
      </c>
      <c r="K1390" s="5">
        <f>IF(Table1[[#This Row],[Revenue]]=0, 0, Table1[[#This Row],[Profit]]/Table1[[#This Row],[Revenue]])</f>
        <v>0.18703519337203023</v>
      </c>
    </row>
    <row r="1391" spans="1:11" x14ac:dyDescent="0.35">
      <c r="A1391" s="1">
        <v>45350</v>
      </c>
      <c r="B1391" s="3" t="s">
        <v>20</v>
      </c>
      <c r="C1391" s="3" t="s">
        <v>28</v>
      </c>
      <c r="D1391" s="3" t="s">
        <v>12</v>
      </c>
      <c r="E1391" s="4">
        <v>6</v>
      </c>
      <c r="F1391" s="4">
        <v>396</v>
      </c>
      <c r="G1391" s="3" t="s">
        <v>16</v>
      </c>
      <c r="H1391">
        <v>2376</v>
      </c>
      <c r="I1391">
        <v>1742.7247560000001</v>
      </c>
      <c r="J1391">
        <v>633.27524449999999</v>
      </c>
      <c r="K1391" s="5">
        <f>IF(Table1[[#This Row],[Revenue]]=0, 0, Table1[[#This Row],[Profit]]/Table1[[#This Row],[Revenue]])</f>
        <v>0.26652998505892256</v>
      </c>
    </row>
    <row r="1392" spans="1:11" x14ac:dyDescent="0.35">
      <c r="A1392" s="1">
        <v>45656</v>
      </c>
      <c r="B1392" s="3" t="s">
        <v>23</v>
      </c>
      <c r="C1392" s="3" t="s">
        <v>31</v>
      </c>
      <c r="D1392" s="3" t="s">
        <v>21</v>
      </c>
      <c r="E1392" s="4">
        <v>16</v>
      </c>
      <c r="F1392" s="4">
        <v>1235</v>
      </c>
      <c r="G1392" s="3" t="s">
        <v>19</v>
      </c>
      <c r="H1392">
        <v>19760</v>
      </c>
      <c r="I1392">
        <v>12857.839980000001</v>
      </c>
      <c r="J1392">
        <v>6902.1600179999996</v>
      </c>
      <c r="K1392" s="5">
        <f>IF(Table1[[#This Row],[Revenue]]=0, 0, Table1[[#This Row],[Profit]]/Table1[[#This Row],[Revenue]])</f>
        <v>0.34929959605263156</v>
      </c>
    </row>
    <row r="1393" spans="1:11" x14ac:dyDescent="0.35">
      <c r="A1393" s="1">
        <v>45317</v>
      </c>
      <c r="B1393" s="3" t="s">
        <v>10</v>
      </c>
      <c r="C1393" s="3" t="s">
        <v>22</v>
      </c>
      <c r="D1393" s="3" t="s">
        <v>15</v>
      </c>
      <c r="E1393" s="4">
        <v>6</v>
      </c>
      <c r="F1393" s="4">
        <v>1353</v>
      </c>
      <c r="G1393" s="3" t="s">
        <v>13</v>
      </c>
      <c r="H1393">
        <v>8118</v>
      </c>
      <c r="I1393">
        <v>5993.5433860000003</v>
      </c>
      <c r="J1393">
        <v>2124.4566140000002</v>
      </c>
      <c r="K1393" s="5">
        <f>IF(Table1[[#This Row],[Revenue]]=0, 0, Table1[[#This Row],[Profit]]/Table1[[#This Row],[Revenue]])</f>
        <v>0.2616970453313624</v>
      </c>
    </row>
    <row r="1394" spans="1:11" x14ac:dyDescent="0.35">
      <c r="A1394" s="1">
        <v>45338</v>
      </c>
      <c r="B1394" s="3" t="s">
        <v>10</v>
      </c>
      <c r="C1394" s="3" t="s">
        <v>31</v>
      </c>
      <c r="D1394" s="3" t="s">
        <v>30</v>
      </c>
      <c r="E1394" s="4">
        <v>14</v>
      </c>
      <c r="F1394" s="4">
        <v>1219</v>
      </c>
      <c r="G1394" s="3" t="s">
        <v>19</v>
      </c>
      <c r="H1394">
        <v>17066</v>
      </c>
      <c r="I1394">
        <v>13346.12974</v>
      </c>
      <c r="J1394">
        <v>3719.8702589999998</v>
      </c>
      <c r="K1394" s="5">
        <f>IF(Table1[[#This Row],[Revenue]]=0, 0, Table1[[#This Row],[Profit]]/Table1[[#This Row],[Revenue]])</f>
        <v>0.21796966242821983</v>
      </c>
    </row>
    <row r="1395" spans="1:11" x14ac:dyDescent="0.35">
      <c r="A1395" s="1">
        <v>45579</v>
      </c>
      <c r="B1395" s="3" t="s">
        <v>23</v>
      </c>
      <c r="C1395" s="3" t="s">
        <v>28</v>
      </c>
      <c r="D1395" s="3" t="s">
        <v>15</v>
      </c>
      <c r="E1395" s="4">
        <v>1</v>
      </c>
      <c r="F1395" s="4">
        <v>1049</v>
      </c>
      <c r="G1395" s="3" t="s">
        <v>16</v>
      </c>
      <c r="H1395">
        <v>1049</v>
      </c>
      <c r="I1395">
        <v>733.55056890000003</v>
      </c>
      <c r="J1395">
        <v>315.44943110000003</v>
      </c>
      <c r="K1395" s="5">
        <f>IF(Table1[[#This Row],[Revenue]]=0, 0, Table1[[#This Row],[Profit]]/Table1[[#This Row],[Revenue]])</f>
        <v>0.30071442430886564</v>
      </c>
    </row>
    <row r="1396" spans="1:11" x14ac:dyDescent="0.35">
      <c r="A1396" s="1">
        <v>45557</v>
      </c>
      <c r="B1396" s="3" t="s">
        <v>10</v>
      </c>
      <c r="C1396" s="3" t="s">
        <v>11</v>
      </c>
      <c r="D1396" s="3" t="s">
        <v>12</v>
      </c>
      <c r="E1396" s="4">
        <v>9</v>
      </c>
      <c r="F1396" s="4">
        <v>779</v>
      </c>
      <c r="G1396" s="3" t="s">
        <v>13</v>
      </c>
      <c r="H1396">
        <v>7011</v>
      </c>
      <c r="I1396">
        <v>5279.8252750000001</v>
      </c>
      <c r="J1396">
        <v>1731.1747250000001</v>
      </c>
      <c r="K1396" s="5">
        <f>IF(Table1[[#This Row],[Revenue]]=0, 0, Table1[[#This Row],[Profit]]/Table1[[#This Row],[Revenue]])</f>
        <v>0.2469226536870632</v>
      </c>
    </row>
    <row r="1397" spans="1:11" x14ac:dyDescent="0.35">
      <c r="A1397" s="1">
        <v>45307</v>
      </c>
      <c r="B1397" s="3" t="s">
        <v>20</v>
      </c>
      <c r="C1397" s="3" t="s">
        <v>14</v>
      </c>
      <c r="D1397" s="3" t="s">
        <v>21</v>
      </c>
      <c r="E1397" s="4">
        <v>13</v>
      </c>
      <c r="F1397" s="4">
        <v>477</v>
      </c>
      <c r="G1397" s="3" t="s">
        <v>16</v>
      </c>
      <c r="H1397">
        <v>6201</v>
      </c>
      <c r="I1397">
        <v>3962.8373430000001</v>
      </c>
      <c r="J1397">
        <v>2238.1626569999999</v>
      </c>
      <c r="K1397" s="5">
        <f>IF(Table1[[#This Row],[Revenue]]=0, 0, Table1[[#This Row],[Profit]]/Table1[[#This Row],[Revenue]])</f>
        <v>0.36093576149008222</v>
      </c>
    </row>
    <row r="1398" spans="1:11" x14ac:dyDescent="0.35">
      <c r="A1398" s="1">
        <v>45490</v>
      </c>
      <c r="B1398" s="3" t="s">
        <v>10</v>
      </c>
      <c r="C1398" s="3" t="s">
        <v>24</v>
      </c>
      <c r="D1398" s="3" t="s">
        <v>32</v>
      </c>
      <c r="E1398" s="4">
        <v>19</v>
      </c>
      <c r="F1398" s="4">
        <v>1279</v>
      </c>
      <c r="G1398" s="3" t="s">
        <v>19</v>
      </c>
      <c r="H1398">
        <v>24301</v>
      </c>
      <c r="I1398">
        <v>17877.18694</v>
      </c>
      <c r="J1398">
        <v>6423.8130620000002</v>
      </c>
      <c r="K1398" s="5">
        <f>IF(Table1[[#This Row],[Revenue]]=0, 0, Table1[[#This Row],[Profit]]/Table1[[#This Row],[Revenue]])</f>
        <v>0.26434356865972597</v>
      </c>
    </row>
    <row r="1399" spans="1:11" x14ac:dyDescent="0.35">
      <c r="A1399" s="1">
        <v>45573</v>
      </c>
      <c r="B1399" s="3" t="s">
        <v>20</v>
      </c>
      <c r="C1399" s="3" t="s">
        <v>31</v>
      </c>
      <c r="D1399" s="3" t="s">
        <v>25</v>
      </c>
      <c r="E1399" s="4">
        <v>17</v>
      </c>
      <c r="F1399" s="4">
        <v>520</v>
      </c>
      <c r="G1399" s="3" t="s">
        <v>19</v>
      </c>
      <c r="H1399">
        <v>8840</v>
      </c>
      <c r="I1399">
        <v>5544.7374719999998</v>
      </c>
      <c r="J1399">
        <v>3295.2625280000002</v>
      </c>
      <c r="K1399" s="5">
        <f>IF(Table1[[#This Row],[Revenue]]=0, 0, Table1[[#This Row],[Profit]]/Table1[[#This Row],[Revenue]])</f>
        <v>0.37276725429864255</v>
      </c>
    </row>
    <row r="1400" spans="1:11" x14ac:dyDescent="0.35">
      <c r="A1400" s="1">
        <v>45377</v>
      </c>
      <c r="B1400" s="3" t="s">
        <v>27</v>
      </c>
      <c r="C1400" s="3" t="s">
        <v>17</v>
      </c>
      <c r="D1400" s="3" t="s">
        <v>25</v>
      </c>
      <c r="E1400" s="4">
        <v>11</v>
      </c>
      <c r="F1400" s="4">
        <v>204</v>
      </c>
      <c r="G1400" s="3" t="s">
        <v>19</v>
      </c>
      <c r="H1400">
        <v>2244</v>
      </c>
      <c r="I1400">
        <v>1379.4465459999999</v>
      </c>
      <c r="J1400">
        <v>864.55345350000005</v>
      </c>
      <c r="K1400" s="5">
        <f>IF(Table1[[#This Row],[Revenue]]=0, 0, Table1[[#This Row],[Profit]]/Table1[[#This Row],[Revenue]])</f>
        <v>0.38527337500000003</v>
      </c>
    </row>
    <row r="1401" spans="1:11" x14ac:dyDescent="0.35">
      <c r="A1401" s="1">
        <v>45541</v>
      </c>
      <c r="B1401" s="3" t="s">
        <v>27</v>
      </c>
      <c r="C1401" s="3" t="s">
        <v>24</v>
      </c>
      <c r="D1401" s="3" t="s">
        <v>32</v>
      </c>
      <c r="E1401" s="4">
        <v>8</v>
      </c>
      <c r="F1401" s="4">
        <v>1828</v>
      </c>
      <c r="G1401" s="3" t="s">
        <v>19</v>
      </c>
      <c r="H1401">
        <v>14624</v>
      </c>
      <c r="I1401">
        <v>12535.28296</v>
      </c>
      <c r="J1401">
        <v>2088.7170420000002</v>
      </c>
      <c r="K1401" s="5">
        <f>IF(Table1[[#This Row],[Revenue]]=0, 0, Table1[[#This Row],[Profit]]/Table1[[#This Row],[Revenue]])</f>
        <v>0.14282802530087529</v>
      </c>
    </row>
    <row r="1402" spans="1:11" x14ac:dyDescent="0.35">
      <c r="A1402" s="1">
        <v>45561</v>
      </c>
      <c r="B1402" s="3" t="s">
        <v>27</v>
      </c>
      <c r="C1402" s="3" t="s">
        <v>26</v>
      </c>
      <c r="D1402" s="3" t="s">
        <v>32</v>
      </c>
      <c r="E1402" s="4">
        <v>5</v>
      </c>
      <c r="F1402" s="4">
        <v>429</v>
      </c>
      <c r="G1402" s="3" t="s">
        <v>19</v>
      </c>
      <c r="H1402">
        <v>2145</v>
      </c>
      <c r="I1402">
        <v>1418.9699989999999</v>
      </c>
      <c r="J1402">
        <v>726.03000059999999</v>
      </c>
      <c r="K1402" s="5">
        <f>IF(Table1[[#This Row],[Revenue]]=0, 0, Table1[[#This Row],[Profit]]/Table1[[#This Row],[Revenue]])</f>
        <v>0.33847552475524473</v>
      </c>
    </row>
    <row r="1403" spans="1:11" x14ac:dyDescent="0.35">
      <c r="A1403" s="1">
        <v>45626</v>
      </c>
      <c r="B1403" s="3" t="s">
        <v>27</v>
      </c>
      <c r="C1403" s="3" t="s">
        <v>28</v>
      </c>
      <c r="D1403" s="3" t="s">
        <v>30</v>
      </c>
      <c r="E1403" s="4">
        <v>10</v>
      </c>
      <c r="F1403" s="4">
        <v>538</v>
      </c>
      <c r="G1403" s="3" t="s">
        <v>16</v>
      </c>
      <c r="H1403">
        <v>5380</v>
      </c>
      <c r="I1403">
        <v>4156.3007010000001</v>
      </c>
      <c r="J1403">
        <v>1223.6992990000001</v>
      </c>
      <c r="K1403" s="5">
        <f>IF(Table1[[#This Row],[Revenue]]=0, 0, Table1[[#This Row],[Profit]]/Table1[[#This Row],[Revenue]])</f>
        <v>0.22745340130111527</v>
      </c>
    </row>
    <row r="1404" spans="1:11" x14ac:dyDescent="0.35">
      <c r="A1404" s="1">
        <v>45408</v>
      </c>
      <c r="B1404" s="3" t="s">
        <v>10</v>
      </c>
      <c r="C1404" s="3" t="s">
        <v>14</v>
      </c>
      <c r="D1404" s="3" t="s">
        <v>12</v>
      </c>
      <c r="E1404" s="4">
        <v>7</v>
      </c>
      <c r="F1404" s="4">
        <v>1255</v>
      </c>
      <c r="G1404" s="3" t="s">
        <v>16</v>
      </c>
      <c r="H1404">
        <v>8785</v>
      </c>
      <c r="I1404">
        <v>5663.6440599999996</v>
      </c>
      <c r="J1404">
        <v>3121.3559399999999</v>
      </c>
      <c r="K1404" s="5">
        <f>IF(Table1[[#This Row],[Revenue]]=0, 0, Table1[[#This Row],[Profit]]/Table1[[#This Row],[Revenue]])</f>
        <v>0.35530517245304494</v>
      </c>
    </row>
    <row r="1405" spans="1:11" x14ac:dyDescent="0.35">
      <c r="A1405" s="1">
        <v>45298</v>
      </c>
      <c r="B1405" s="3" t="s">
        <v>23</v>
      </c>
      <c r="C1405" s="3" t="s">
        <v>31</v>
      </c>
      <c r="D1405" s="3" t="s">
        <v>29</v>
      </c>
      <c r="E1405" s="4">
        <v>10</v>
      </c>
      <c r="F1405" s="4">
        <v>1990</v>
      </c>
      <c r="G1405" s="3" t="s">
        <v>19</v>
      </c>
      <c r="H1405">
        <v>19900</v>
      </c>
      <c r="I1405">
        <v>13507.2896</v>
      </c>
      <c r="J1405">
        <v>6392.7104019999997</v>
      </c>
      <c r="K1405" s="5">
        <f>IF(Table1[[#This Row],[Revenue]]=0, 0, Table1[[#This Row],[Profit]]/Table1[[#This Row],[Revenue]])</f>
        <v>0.32124172874371859</v>
      </c>
    </row>
    <row r="1406" spans="1:11" x14ac:dyDescent="0.35">
      <c r="A1406" s="1">
        <v>45428</v>
      </c>
      <c r="B1406" s="3" t="s">
        <v>10</v>
      </c>
      <c r="C1406" s="3" t="s">
        <v>24</v>
      </c>
      <c r="D1406" s="3" t="s">
        <v>15</v>
      </c>
      <c r="E1406" s="4">
        <v>4</v>
      </c>
      <c r="F1406" s="4">
        <v>481</v>
      </c>
      <c r="G1406" s="3" t="s">
        <v>19</v>
      </c>
      <c r="H1406">
        <v>1924</v>
      </c>
      <c r="I1406">
        <v>1362.965113</v>
      </c>
      <c r="J1406">
        <v>561.03488689999995</v>
      </c>
      <c r="K1406" s="5">
        <f>IF(Table1[[#This Row],[Revenue]]=0, 0, Table1[[#This Row],[Profit]]/Table1[[#This Row],[Revenue]])</f>
        <v>0.29159817406444904</v>
      </c>
    </row>
    <row r="1407" spans="1:11" x14ac:dyDescent="0.35">
      <c r="A1407" s="1">
        <v>45467</v>
      </c>
      <c r="B1407" s="3" t="s">
        <v>20</v>
      </c>
      <c r="C1407" s="3" t="s">
        <v>14</v>
      </c>
      <c r="D1407" s="3" t="s">
        <v>25</v>
      </c>
      <c r="E1407" s="4">
        <v>9</v>
      </c>
      <c r="F1407" s="4">
        <v>237</v>
      </c>
      <c r="G1407" s="3" t="s">
        <v>16</v>
      </c>
      <c r="H1407">
        <v>2133</v>
      </c>
      <c r="I1407">
        <v>1371.738552</v>
      </c>
      <c r="J1407">
        <v>761.26144839999995</v>
      </c>
      <c r="K1407" s="5">
        <f>IF(Table1[[#This Row],[Revenue]]=0, 0, Table1[[#This Row],[Profit]]/Table1[[#This Row],[Revenue]])</f>
        <v>0.35689706910454755</v>
      </c>
    </row>
    <row r="1408" spans="1:11" x14ac:dyDescent="0.35">
      <c r="A1408" s="1">
        <v>45619</v>
      </c>
      <c r="B1408" s="3" t="s">
        <v>10</v>
      </c>
      <c r="C1408" s="3" t="s">
        <v>31</v>
      </c>
      <c r="D1408" s="3" t="s">
        <v>32</v>
      </c>
      <c r="E1408" s="4">
        <v>14</v>
      </c>
      <c r="F1408" s="4">
        <v>1042</v>
      </c>
      <c r="G1408" s="3" t="s">
        <v>19</v>
      </c>
      <c r="H1408">
        <v>14588</v>
      </c>
      <c r="I1408">
        <v>8953.9493970000003</v>
      </c>
      <c r="J1408">
        <v>5634.0506029999997</v>
      </c>
      <c r="K1408" s="5">
        <f>IF(Table1[[#This Row],[Revenue]]=0, 0, Table1[[#This Row],[Profit]]/Table1[[#This Row],[Revenue]])</f>
        <v>0.38621131087194954</v>
      </c>
    </row>
    <row r="1409" spans="1:11" x14ac:dyDescent="0.35">
      <c r="A1409" s="1">
        <v>45606</v>
      </c>
      <c r="B1409" s="3" t="s">
        <v>10</v>
      </c>
      <c r="C1409" s="3" t="s">
        <v>24</v>
      </c>
      <c r="D1409" s="3" t="s">
        <v>15</v>
      </c>
      <c r="E1409" s="4">
        <v>2</v>
      </c>
      <c r="F1409" s="4">
        <v>942</v>
      </c>
      <c r="G1409" s="3" t="s">
        <v>19</v>
      </c>
      <c r="H1409">
        <v>1884</v>
      </c>
      <c r="I1409">
        <v>1626.1707200000001</v>
      </c>
      <c r="J1409">
        <v>257.82927990000002</v>
      </c>
      <c r="K1409" s="5">
        <f>IF(Table1[[#This Row],[Revenue]]=0, 0, Table1[[#This Row],[Profit]]/Table1[[#This Row],[Revenue]])</f>
        <v>0.13685205939490447</v>
      </c>
    </row>
    <row r="1410" spans="1:11" x14ac:dyDescent="0.35">
      <c r="A1410" s="1">
        <v>45506</v>
      </c>
      <c r="B1410" s="3" t="s">
        <v>20</v>
      </c>
      <c r="C1410" s="3" t="s">
        <v>17</v>
      </c>
      <c r="D1410" s="3" t="s">
        <v>25</v>
      </c>
      <c r="E1410" s="4">
        <v>9</v>
      </c>
      <c r="F1410" s="4">
        <v>369</v>
      </c>
      <c r="G1410" s="3" t="s">
        <v>19</v>
      </c>
      <c r="H1410">
        <v>3321</v>
      </c>
      <c r="I1410">
        <v>2004.389054</v>
      </c>
      <c r="J1410">
        <v>1316.610946</v>
      </c>
      <c r="K1410" s="5">
        <f>IF(Table1[[#This Row],[Revenue]]=0, 0, Table1[[#This Row],[Profit]]/Table1[[#This Row],[Revenue]])</f>
        <v>0.39645014935260464</v>
      </c>
    </row>
    <row r="1411" spans="1:11" x14ac:dyDescent="0.35">
      <c r="A1411" s="1">
        <v>45373</v>
      </c>
      <c r="B1411" s="3" t="s">
        <v>27</v>
      </c>
      <c r="C1411" s="3" t="s">
        <v>26</v>
      </c>
      <c r="D1411" s="3" t="s">
        <v>32</v>
      </c>
      <c r="E1411" s="4">
        <v>1</v>
      </c>
      <c r="F1411" s="4">
        <v>1673</v>
      </c>
      <c r="G1411" s="3" t="s">
        <v>19</v>
      </c>
      <c r="H1411">
        <v>1673</v>
      </c>
      <c r="I1411">
        <v>1034.5770010000001</v>
      </c>
      <c r="J1411">
        <v>638.42299869999999</v>
      </c>
      <c r="K1411" s="5">
        <f>IF(Table1[[#This Row],[Revenue]]=0, 0, Table1[[#This Row],[Profit]]/Table1[[#This Row],[Revenue]])</f>
        <v>0.38160370514046621</v>
      </c>
    </row>
    <row r="1412" spans="1:11" x14ac:dyDescent="0.35">
      <c r="A1412" s="1">
        <v>45514</v>
      </c>
      <c r="B1412" s="3" t="s">
        <v>27</v>
      </c>
      <c r="C1412" s="3" t="s">
        <v>26</v>
      </c>
      <c r="D1412" s="3" t="s">
        <v>12</v>
      </c>
      <c r="E1412" s="4">
        <v>10</v>
      </c>
      <c r="F1412" s="4">
        <v>495</v>
      </c>
      <c r="G1412" s="3" t="s">
        <v>19</v>
      </c>
      <c r="H1412">
        <v>4950</v>
      </c>
      <c r="I1412">
        <v>4165.5321590000003</v>
      </c>
      <c r="J1412">
        <v>784.46784119999995</v>
      </c>
      <c r="K1412" s="5">
        <f>IF(Table1[[#This Row],[Revenue]]=0, 0, Table1[[#This Row],[Profit]]/Table1[[#This Row],[Revenue]])</f>
        <v>0.15847835175757574</v>
      </c>
    </row>
    <row r="1413" spans="1:11" x14ac:dyDescent="0.35">
      <c r="A1413" s="1">
        <v>45394</v>
      </c>
      <c r="B1413" s="3" t="s">
        <v>27</v>
      </c>
      <c r="C1413" s="3" t="s">
        <v>11</v>
      </c>
      <c r="D1413" s="3" t="s">
        <v>25</v>
      </c>
      <c r="E1413" s="4">
        <v>10</v>
      </c>
      <c r="F1413" s="4">
        <v>1680</v>
      </c>
      <c r="G1413" s="3" t="s">
        <v>13</v>
      </c>
      <c r="H1413">
        <v>16800</v>
      </c>
      <c r="I1413">
        <v>11501.32202</v>
      </c>
      <c r="J1413">
        <v>5298.6779829999996</v>
      </c>
      <c r="K1413" s="5">
        <f>IF(Table1[[#This Row],[Revenue]]=0, 0, Table1[[#This Row],[Profit]]/Table1[[#This Row],[Revenue]])</f>
        <v>0.31539749898809522</v>
      </c>
    </row>
    <row r="1414" spans="1:11" x14ac:dyDescent="0.35">
      <c r="A1414" s="1">
        <v>45564</v>
      </c>
      <c r="B1414" s="3" t="s">
        <v>23</v>
      </c>
      <c r="C1414" s="3" t="s">
        <v>24</v>
      </c>
      <c r="D1414" s="3" t="s">
        <v>30</v>
      </c>
      <c r="E1414" s="4">
        <v>3</v>
      </c>
      <c r="F1414" s="4">
        <v>1012</v>
      </c>
      <c r="G1414" s="3" t="s">
        <v>19</v>
      </c>
      <c r="H1414">
        <v>3036</v>
      </c>
      <c r="I1414">
        <v>2479.9447300000002</v>
      </c>
      <c r="J1414">
        <v>556.05526970000005</v>
      </c>
      <c r="K1414" s="5">
        <f>IF(Table1[[#This Row],[Revenue]]=0, 0, Table1[[#This Row],[Profit]]/Table1[[#This Row],[Revenue]])</f>
        <v>0.1831539096508564</v>
      </c>
    </row>
    <row r="1415" spans="1:11" x14ac:dyDescent="0.35">
      <c r="A1415" s="1">
        <v>45305</v>
      </c>
      <c r="B1415" s="3" t="s">
        <v>20</v>
      </c>
      <c r="C1415" s="3" t="s">
        <v>31</v>
      </c>
      <c r="D1415" s="3" t="s">
        <v>29</v>
      </c>
      <c r="E1415" s="4">
        <v>6</v>
      </c>
      <c r="F1415" s="4">
        <v>563</v>
      </c>
      <c r="G1415" s="3" t="s">
        <v>19</v>
      </c>
      <c r="H1415">
        <v>3378</v>
      </c>
      <c r="I1415">
        <v>2174.9851739999999</v>
      </c>
      <c r="J1415">
        <v>1203.0148260000001</v>
      </c>
      <c r="K1415" s="5">
        <f>IF(Table1[[#This Row],[Revenue]]=0, 0, Table1[[#This Row],[Profit]]/Table1[[#This Row],[Revenue]])</f>
        <v>0.35613227531083486</v>
      </c>
    </row>
    <row r="1416" spans="1:11" x14ac:dyDescent="0.35">
      <c r="A1416" s="1">
        <v>45450</v>
      </c>
      <c r="B1416" s="3" t="s">
        <v>20</v>
      </c>
      <c r="C1416" s="3" t="s">
        <v>26</v>
      </c>
      <c r="D1416" s="3" t="s">
        <v>29</v>
      </c>
      <c r="E1416" s="4">
        <v>6</v>
      </c>
      <c r="F1416" s="4">
        <v>1798</v>
      </c>
      <c r="G1416" s="3" t="s">
        <v>19</v>
      </c>
      <c r="H1416">
        <v>10788</v>
      </c>
      <c r="I1416">
        <v>7240.7386509999997</v>
      </c>
      <c r="J1416">
        <v>3547.2613489999999</v>
      </c>
      <c r="K1416" s="5">
        <f>IF(Table1[[#This Row],[Revenue]]=0, 0, Table1[[#This Row],[Profit]]/Table1[[#This Row],[Revenue]])</f>
        <v>0.32881547543566925</v>
      </c>
    </row>
    <row r="1417" spans="1:11" x14ac:dyDescent="0.35">
      <c r="A1417" s="1">
        <v>45443</v>
      </c>
      <c r="B1417" s="3" t="s">
        <v>10</v>
      </c>
      <c r="C1417" s="3" t="s">
        <v>28</v>
      </c>
      <c r="D1417" s="3" t="s">
        <v>32</v>
      </c>
      <c r="E1417" s="4">
        <v>2</v>
      </c>
      <c r="F1417" s="4">
        <v>549</v>
      </c>
      <c r="G1417" s="3" t="s">
        <v>16</v>
      </c>
      <c r="H1417">
        <v>1098</v>
      </c>
      <c r="I1417">
        <v>847.4725846</v>
      </c>
      <c r="J1417">
        <v>250.5274154</v>
      </c>
      <c r="K1417" s="5">
        <f>IF(Table1[[#This Row],[Revenue]]=0, 0, Table1[[#This Row],[Profit]]/Table1[[#This Row],[Revenue]])</f>
        <v>0.22816704499089252</v>
      </c>
    </row>
    <row r="1418" spans="1:11" x14ac:dyDescent="0.35">
      <c r="A1418" s="1">
        <v>45399</v>
      </c>
      <c r="B1418" s="3" t="s">
        <v>23</v>
      </c>
      <c r="C1418" s="3" t="s">
        <v>26</v>
      </c>
      <c r="D1418" s="3" t="s">
        <v>25</v>
      </c>
      <c r="E1418" s="4">
        <v>18</v>
      </c>
      <c r="F1418" s="4">
        <v>1454</v>
      </c>
      <c r="G1418" s="3" t="s">
        <v>19</v>
      </c>
      <c r="H1418">
        <v>26172</v>
      </c>
      <c r="I1418">
        <v>23465.57315</v>
      </c>
      <c r="J1418">
        <v>2706.4268510000002</v>
      </c>
      <c r="K1418" s="5">
        <f>IF(Table1[[#This Row],[Revenue]]=0, 0, Table1[[#This Row],[Profit]]/Table1[[#This Row],[Revenue]])</f>
        <v>0.1034092484716491</v>
      </c>
    </row>
    <row r="1419" spans="1:11" x14ac:dyDescent="0.35">
      <c r="A1419" s="1">
        <v>45479</v>
      </c>
      <c r="B1419" s="3" t="s">
        <v>27</v>
      </c>
      <c r="C1419" s="3" t="s">
        <v>22</v>
      </c>
      <c r="D1419" s="3" t="s">
        <v>30</v>
      </c>
      <c r="E1419" s="4">
        <v>2</v>
      </c>
      <c r="F1419" s="4">
        <v>1376</v>
      </c>
      <c r="G1419" s="3" t="s">
        <v>13</v>
      </c>
      <c r="H1419">
        <v>2752</v>
      </c>
      <c r="I1419">
        <v>1711.8357550000001</v>
      </c>
      <c r="J1419">
        <v>1040.1642449999999</v>
      </c>
      <c r="K1419" s="5">
        <f>IF(Table1[[#This Row],[Revenue]]=0, 0, Table1[[#This Row],[Profit]]/Table1[[#This Row],[Revenue]])</f>
        <v>0.37796665879360464</v>
      </c>
    </row>
    <row r="1420" spans="1:11" x14ac:dyDescent="0.35">
      <c r="A1420" s="1">
        <v>45592</v>
      </c>
      <c r="B1420" s="3" t="s">
        <v>23</v>
      </c>
      <c r="C1420" s="3" t="s">
        <v>22</v>
      </c>
      <c r="D1420" s="3" t="s">
        <v>18</v>
      </c>
      <c r="E1420" s="4">
        <v>12</v>
      </c>
      <c r="F1420" s="4">
        <v>1804</v>
      </c>
      <c r="G1420" s="3" t="s">
        <v>13</v>
      </c>
      <c r="H1420">
        <v>21648</v>
      </c>
      <c r="I1420">
        <v>15590.16178</v>
      </c>
      <c r="J1420">
        <v>6057.8382190000002</v>
      </c>
      <c r="K1420" s="5">
        <f>IF(Table1[[#This Row],[Revenue]]=0, 0, Table1[[#This Row],[Profit]]/Table1[[#This Row],[Revenue]])</f>
        <v>0.27983362061160383</v>
      </c>
    </row>
    <row r="1421" spans="1:11" x14ac:dyDescent="0.35">
      <c r="A1421" s="1">
        <v>45389</v>
      </c>
      <c r="B1421" s="3" t="s">
        <v>20</v>
      </c>
      <c r="C1421" s="3" t="s">
        <v>26</v>
      </c>
      <c r="D1421" s="3" t="s">
        <v>15</v>
      </c>
      <c r="E1421" s="4">
        <v>5</v>
      </c>
      <c r="F1421" s="4">
        <v>1408</v>
      </c>
      <c r="G1421" s="3" t="s">
        <v>19</v>
      </c>
      <c r="H1421">
        <v>7040</v>
      </c>
      <c r="I1421">
        <v>4314.9870090000004</v>
      </c>
      <c r="J1421">
        <v>2725.0129910000001</v>
      </c>
      <c r="K1421" s="5">
        <f>IF(Table1[[#This Row],[Revenue]]=0, 0, Table1[[#This Row],[Profit]]/Table1[[#This Row],[Revenue]])</f>
        <v>0.38707570894886362</v>
      </c>
    </row>
    <row r="1422" spans="1:11" x14ac:dyDescent="0.35">
      <c r="A1422" s="1">
        <v>45422</v>
      </c>
      <c r="B1422" s="3" t="s">
        <v>20</v>
      </c>
      <c r="C1422" s="3" t="s">
        <v>24</v>
      </c>
      <c r="D1422" s="3" t="s">
        <v>15</v>
      </c>
      <c r="E1422" s="4">
        <v>7</v>
      </c>
      <c r="F1422" s="4">
        <v>1397</v>
      </c>
      <c r="G1422" s="3" t="s">
        <v>19</v>
      </c>
      <c r="H1422">
        <v>9779</v>
      </c>
      <c r="I1422">
        <v>6451.8706149999998</v>
      </c>
      <c r="J1422">
        <v>3327.1293850000002</v>
      </c>
      <c r="K1422" s="5">
        <f>IF(Table1[[#This Row],[Revenue]]=0, 0, Table1[[#This Row],[Profit]]/Table1[[#This Row],[Revenue]])</f>
        <v>0.34023206718478372</v>
      </c>
    </row>
    <row r="1423" spans="1:11" x14ac:dyDescent="0.35">
      <c r="A1423" s="1">
        <v>45584</v>
      </c>
      <c r="B1423" s="3" t="s">
        <v>10</v>
      </c>
      <c r="C1423" s="3" t="s">
        <v>43</v>
      </c>
      <c r="D1423" s="3" t="s">
        <v>21</v>
      </c>
      <c r="E1423" s="4">
        <v>16</v>
      </c>
      <c r="F1423" s="4">
        <v>119</v>
      </c>
      <c r="G1423" s="3" t="s">
        <v>13</v>
      </c>
      <c r="H1423">
        <v>1904</v>
      </c>
      <c r="I1423">
        <v>1660.747451</v>
      </c>
      <c r="J1423">
        <v>243.25254949999999</v>
      </c>
      <c r="K1423" s="5">
        <f>IF(Table1[[#This Row],[Revenue]]=0, 0, Table1[[#This Row],[Profit]]/Table1[[#This Row],[Revenue]])</f>
        <v>0.12775869196428571</v>
      </c>
    </row>
    <row r="1424" spans="1:11" x14ac:dyDescent="0.35">
      <c r="A1424" s="1">
        <v>45462</v>
      </c>
      <c r="B1424" s="3" t="s">
        <v>10</v>
      </c>
      <c r="C1424" s="3" t="s">
        <v>26</v>
      </c>
      <c r="D1424" s="3" t="s">
        <v>30</v>
      </c>
      <c r="E1424" s="4">
        <v>1</v>
      </c>
      <c r="F1424" s="4">
        <v>338</v>
      </c>
      <c r="G1424" s="3" t="s">
        <v>19</v>
      </c>
      <c r="H1424">
        <v>338</v>
      </c>
      <c r="I1424">
        <v>212.58105449999999</v>
      </c>
      <c r="J1424">
        <v>125.41894550000001</v>
      </c>
      <c r="K1424" s="5">
        <f>IF(Table1[[#This Row],[Revenue]]=0, 0, Table1[[#This Row],[Profit]]/Table1[[#This Row],[Revenue]])</f>
        <v>0.37106196893491128</v>
      </c>
    </row>
    <row r="1425" spans="1:11" x14ac:dyDescent="0.35">
      <c r="A1425" s="1">
        <v>45474</v>
      </c>
      <c r="B1425" s="3" t="s">
        <v>20</v>
      </c>
      <c r="C1425" s="3" t="s">
        <v>17</v>
      </c>
      <c r="D1425" s="3" t="s">
        <v>25</v>
      </c>
      <c r="E1425" s="4">
        <v>1</v>
      </c>
      <c r="F1425" s="4">
        <v>1393</v>
      </c>
      <c r="G1425" s="3" t="s">
        <v>19</v>
      </c>
      <c r="H1425">
        <v>1393</v>
      </c>
      <c r="I1425">
        <v>1193.8800900000001</v>
      </c>
      <c r="J1425">
        <v>199.1199105</v>
      </c>
      <c r="K1425" s="5">
        <f>IF(Table1[[#This Row],[Revenue]]=0, 0, Table1[[#This Row],[Profit]]/Table1[[#This Row],[Revenue]])</f>
        <v>0.14294322361809045</v>
      </c>
    </row>
    <row r="1426" spans="1:11" x14ac:dyDescent="0.35">
      <c r="A1426" s="1">
        <v>45655</v>
      </c>
      <c r="B1426" s="3" t="s">
        <v>27</v>
      </c>
      <c r="C1426" s="3" t="s">
        <v>14</v>
      </c>
      <c r="D1426" s="3" t="s">
        <v>12</v>
      </c>
      <c r="E1426" s="4">
        <v>17</v>
      </c>
      <c r="F1426" s="4">
        <v>517</v>
      </c>
      <c r="G1426" s="3" t="s">
        <v>16</v>
      </c>
      <c r="H1426">
        <v>8789</v>
      </c>
      <c r="I1426">
        <v>5742.2137979999998</v>
      </c>
      <c r="J1426">
        <v>3046.7862019999998</v>
      </c>
      <c r="K1426" s="5">
        <f>IF(Table1[[#This Row],[Revenue]]=0, 0, Table1[[#This Row],[Profit]]/Table1[[#This Row],[Revenue]])</f>
        <v>0.34665902855842529</v>
      </c>
    </row>
    <row r="1427" spans="1:11" x14ac:dyDescent="0.35">
      <c r="A1427" s="1">
        <v>45330</v>
      </c>
      <c r="B1427" s="3" t="s">
        <v>27</v>
      </c>
      <c r="C1427" s="3" t="s">
        <v>31</v>
      </c>
      <c r="D1427" s="3" t="s">
        <v>12</v>
      </c>
      <c r="E1427" s="4">
        <v>1</v>
      </c>
      <c r="F1427" s="4">
        <v>1433</v>
      </c>
      <c r="G1427" s="3" t="s">
        <v>19</v>
      </c>
      <c r="H1427">
        <v>1433</v>
      </c>
      <c r="I1427">
        <v>1230.2813060000001</v>
      </c>
      <c r="J1427">
        <v>202.7186945</v>
      </c>
      <c r="K1427" s="5">
        <f>IF(Table1[[#This Row],[Revenue]]=0, 0, Table1[[#This Row],[Profit]]/Table1[[#This Row],[Revenue]])</f>
        <v>0.14146454605722261</v>
      </c>
    </row>
    <row r="1428" spans="1:11" x14ac:dyDescent="0.35">
      <c r="A1428" s="1">
        <v>45306</v>
      </c>
      <c r="B1428" s="3" t="s">
        <v>23</v>
      </c>
      <c r="C1428" s="3" t="s">
        <v>11</v>
      </c>
      <c r="D1428" s="3" t="s">
        <v>21</v>
      </c>
      <c r="E1428" s="4">
        <v>13</v>
      </c>
      <c r="F1428" s="4">
        <v>1154</v>
      </c>
      <c r="G1428" s="3" t="s">
        <v>13</v>
      </c>
      <c r="H1428">
        <v>15002</v>
      </c>
      <c r="I1428">
        <v>11422.621649999999</v>
      </c>
      <c r="J1428">
        <v>3579.3783530000001</v>
      </c>
      <c r="K1428" s="5">
        <f>IF(Table1[[#This Row],[Revenue]]=0, 0, Table1[[#This Row],[Profit]]/Table1[[#This Row],[Revenue]])</f>
        <v>0.23859341107852286</v>
      </c>
    </row>
    <row r="1429" spans="1:11" x14ac:dyDescent="0.35">
      <c r="A1429" s="1">
        <v>45295</v>
      </c>
      <c r="B1429" s="3" t="s">
        <v>20</v>
      </c>
      <c r="C1429" s="3" t="s">
        <v>17</v>
      </c>
      <c r="D1429" s="3" t="s">
        <v>32</v>
      </c>
      <c r="E1429" s="4">
        <v>9</v>
      </c>
      <c r="F1429" s="4">
        <v>1949</v>
      </c>
      <c r="G1429" s="3" t="s">
        <v>19</v>
      </c>
      <c r="H1429">
        <v>17541</v>
      </c>
      <c r="I1429">
        <v>15145.98698</v>
      </c>
      <c r="J1429">
        <v>2395.0130180000001</v>
      </c>
      <c r="K1429" s="5">
        <f>IF(Table1[[#This Row],[Revenue]]=0, 0, Table1[[#This Row],[Profit]]/Table1[[#This Row],[Revenue]])</f>
        <v>0.1365379977196283</v>
      </c>
    </row>
    <row r="1430" spans="1:11" x14ac:dyDescent="0.35">
      <c r="A1430" s="1">
        <v>45640</v>
      </c>
      <c r="B1430" s="3" t="s">
        <v>20</v>
      </c>
      <c r="C1430" s="3" t="s">
        <v>11</v>
      </c>
      <c r="D1430" s="3" t="s">
        <v>25</v>
      </c>
      <c r="E1430" s="4">
        <v>15</v>
      </c>
      <c r="F1430" s="4">
        <v>1227</v>
      </c>
      <c r="G1430" s="3" t="s">
        <v>13</v>
      </c>
      <c r="H1430">
        <v>18405</v>
      </c>
      <c r="I1430">
        <v>11880.631670000001</v>
      </c>
      <c r="J1430">
        <v>6524.3683259999998</v>
      </c>
      <c r="K1430" s="5">
        <f>IF(Table1[[#This Row],[Revenue]]=0, 0, Table1[[#This Row],[Profit]]/Table1[[#This Row],[Revenue]])</f>
        <v>0.35448890660146698</v>
      </c>
    </row>
    <row r="1431" spans="1:11" x14ac:dyDescent="0.35">
      <c r="A1431" s="1">
        <v>45452</v>
      </c>
      <c r="B1431" s="3" t="s">
        <v>27</v>
      </c>
      <c r="C1431" s="3" t="s">
        <v>31</v>
      </c>
      <c r="D1431" s="3" t="s">
        <v>29</v>
      </c>
      <c r="E1431" s="4">
        <v>14</v>
      </c>
      <c r="F1431" s="4">
        <v>285</v>
      </c>
      <c r="G1431" s="3" t="s">
        <v>19</v>
      </c>
      <c r="H1431">
        <v>3990</v>
      </c>
      <c r="I1431">
        <v>3208.7962200000002</v>
      </c>
      <c r="J1431">
        <v>781.20378049999999</v>
      </c>
      <c r="K1431" s="5">
        <f>IF(Table1[[#This Row],[Revenue]]=0, 0, Table1[[#This Row],[Profit]]/Table1[[#This Row],[Revenue]])</f>
        <v>0.19579042117794487</v>
      </c>
    </row>
    <row r="1432" spans="1:11" x14ac:dyDescent="0.35">
      <c r="A1432" s="1">
        <v>45307</v>
      </c>
      <c r="B1432" s="3" t="s">
        <v>20</v>
      </c>
      <c r="C1432" s="3" t="s">
        <v>31</v>
      </c>
      <c r="D1432" s="3" t="s">
        <v>15</v>
      </c>
      <c r="E1432" s="4">
        <v>11</v>
      </c>
      <c r="F1432" s="4">
        <v>1251</v>
      </c>
      <c r="G1432" s="3" t="s">
        <v>19</v>
      </c>
      <c r="H1432">
        <v>13761</v>
      </c>
      <c r="I1432">
        <v>10497.991900000001</v>
      </c>
      <c r="J1432">
        <v>3263.0080969999999</v>
      </c>
      <c r="K1432" s="5">
        <f>IF(Table1[[#This Row],[Revenue]]=0, 0, Table1[[#This Row],[Profit]]/Table1[[#This Row],[Revenue]])</f>
        <v>0.23711998379478236</v>
      </c>
    </row>
    <row r="1433" spans="1:11" x14ac:dyDescent="0.35">
      <c r="A1433" s="1">
        <v>45399</v>
      </c>
      <c r="B1433" s="3" t="s">
        <v>10</v>
      </c>
      <c r="C1433" s="3" t="s">
        <v>22</v>
      </c>
      <c r="D1433" s="3" t="s">
        <v>25</v>
      </c>
      <c r="E1433" s="4">
        <v>12</v>
      </c>
      <c r="F1433" s="4">
        <v>1333</v>
      </c>
      <c r="G1433" s="3" t="s">
        <v>13</v>
      </c>
      <c r="H1433">
        <v>15996</v>
      </c>
      <c r="I1433">
        <v>13487.446550000001</v>
      </c>
      <c r="J1433">
        <v>2508.5534520000001</v>
      </c>
      <c r="K1433" s="5">
        <f>IF(Table1[[#This Row],[Revenue]]=0, 0, Table1[[#This Row],[Profit]]/Table1[[#This Row],[Revenue]])</f>
        <v>0.15682379669917479</v>
      </c>
    </row>
    <row r="1434" spans="1:11" x14ac:dyDescent="0.35">
      <c r="A1434" s="1">
        <v>45602</v>
      </c>
      <c r="B1434" s="3" t="s">
        <v>20</v>
      </c>
      <c r="C1434" s="3" t="s">
        <v>24</v>
      </c>
      <c r="D1434" s="3" t="s">
        <v>21</v>
      </c>
      <c r="E1434" s="4">
        <v>13</v>
      </c>
      <c r="F1434" s="4">
        <v>1537</v>
      </c>
      <c r="G1434" s="3" t="s">
        <v>19</v>
      </c>
      <c r="H1434">
        <v>19981</v>
      </c>
      <c r="I1434">
        <v>15874.56097</v>
      </c>
      <c r="J1434">
        <v>4106.4390270000004</v>
      </c>
      <c r="K1434" s="5">
        <f>IF(Table1[[#This Row],[Revenue]]=0, 0, Table1[[#This Row],[Profit]]/Table1[[#This Row],[Revenue]])</f>
        <v>0.20551719268304891</v>
      </c>
    </row>
    <row r="1435" spans="1:11" x14ac:dyDescent="0.35">
      <c r="A1435" s="1">
        <v>45518</v>
      </c>
      <c r="B1435" s="3" t="s">
        <v>20</v>
      </c>
      <c r="C1435" s="3" t="s">
        <v>17</v>
      </c>
      <c r="D1435" s="3" t="s">
        <v>29</v>
      </c>
      <c r="E1435" s="4">
        <v>13</v>
      </c>
      <c r="F1435" s="4">
        <v>1404</v>
      </c>
      <c r="G1435" s="3" t="s">
        <v>19</v>
      </c>
      <c r="H1435">
        <v>18252</v>
      </c>
      <c r="I1435">
        <v>15753.558139999999</v>
      </c>
      <c r="J1435">
        <v>2498.4418599999999</v>
      </c>
      <c r="K1435" s="5">
        <f>IF(Table1[[#This Row],[Revenue]]=0, 0, Table1[[#This Row],[Profit]]/Table1[[#This Row],[Revenue]])</f>
        <v>0.13688592263861493</v>
      </c>
    </row>
    <row r="1436" spans="1:11" x14ac:dyDescent="0.35">
      <c r="A1436" s="1">
        <v>45461</v>
      </c>
      <c r="B1436" s="3" t="s">
        <v>43</v>
      </c>
      <c r="C1436" s="3" t="s">
        <v>14</v>
      </c>
      <c r="D1436" s="3" t="s">
        <v>30</v>
      </c>
      <c r="E1436" s="4">
        <v>1</v>
      </c>
      <c r="F1436" s="4">
        <v>352</v>
      </c>
      <c r="G1436" s="3" t="s">
        <v>16</v>
      </c>
      <c r="H1436">
        <v>352</v>
      </c>
      <c r="I1436">
        <v>251.4401627</v>
      </c>
      <c r="J1436">
        <v>100.5598373</v>
      </c>
      <c r="K1436" s="5">
        <f>IF(Table1[[#This Row],[Revenue]]=0, 0, Table1[[#This Row],[Profit]]/Table1[[#This Row],[Revenue]])</f>
        <v>0.2856813559659091</v>
      </c>
    </row>
    <row r="1437" spans="1:11" x14ac:dyDescent="0.35">
      <c r="A1437" s="1">
        <v>45325</v>
      </c>
      <c r="B1437" s="3" t="s">
        <v>27</v>
      </c>
      <c r="C1437" s="3" t="s">
        <v>22</v>
      </c>
      <c r="D1437" s="3" t="s">
        <v>21</v>
      </c>
      <c r="E1437" s="4">
        <v>10</v>
      </c>
      <c r="F1437" s="4">
        <v>118</v>
      </c>
      <c r="G1437" s="3" t="s">
        <v>13</v>
      </c>
      <c r="H1437">
        <v>1180</v>
      </c>
      <c r="I1437">
        <v>916.83280509999997</v>
      </c>
      <c r="J1437">
        <v>263.16719490000003</v>
      </c>
      <c r="K1437" s="5">
        <f>IF(Table1[[#This Row],[Revenue]]=0, 0, Table1[[#This Row],[Profit]]/Table1[[#This Row],[Revenue]])</f>
        <v>0.22302304652542376</v>
      </c>
    </row>
    <row r="1438" spans="1:11" x14ac:dyDescent="0.35">
      <c r="A1438" s="1">
        <v>45542</v>
      </c>
      <c r="B1438" s="3" t="s">
        <v>10</v>
      </c>
      <c r="C1438" s="3" t="s">
        <v>17</v>
      </c>
      <c r="D1438" s="3" t="s">
        <v>32</v>
      </c>
      <c r="E1438" s="4">
        <v>3</v>
      </c>
      <c r="F1438" s="4">
        <v>811</v>
      </c>
      <c r="G1438" s="3" t="s">
        <v>19</v>
      </c>
      <c r="H1438">
        <v>2433</v>
      </c>
      <c r="I1438">
        <v>2095.2515549999998</v>
      </c>
      <c r="J1438">
        <v>337.748445</v>
      </c>
      <c r="K1438" s="5">
        <f>IF(Table1[[#This Row],[Revenue]]=0, 0, Table1[[#This Row],[Profit]]/Table1[[#This Row],[Revenue]])</f>
        <v>0.13881974722564736</v>
      </c>
    </row>
    <row r="1439" spans="1:11" x14ac:dyDescent="0.35">
      <c r="A1439" s="1">
        <v>45538</v>
      </c>
      <c r="B1439" s="3" t="s">
        <v>10</v>
      </c>
      <c r="C1439" s="3" t="s">
        <v>22</v>
      </c>
      <c r="D1439" s="3" t="s">
        <v>32</v>
      </c>
      <c r="E1439" s="4">
        <v>4</v>
      </c>
      <c r="F1439" s="4">
        <v>1855</v>
      </c>
      <c r="G1439" s="3" t="s">
        <v>13</v>
      </c>
      <c r="H1439">
        <v>7420</v>
      </c>
      <c r="I1439">
        <v>4930.1761070000002</v>
      </c>
      <c r="J1439">
        <v>2489.8238930000002</v>
      </c>
      <c r="K1439" s="5">
        <f>IF(Table1[[#This Row],[Revenue]]=0, 0, Table1[[#This Row],[Profit]]/Table1[[#This Row],[Revenue]])</f>
        <v>0.33555578072776282</v>
      </c>
    </row>
    <row r="1440" spans="1:11" x14ac:dyDescent="0.35">
      <c r="A1440" s="1">
        <v>45560</v>
      </c>
      <c r="B1440" s="3" t="s">
        <v>23</v>
      </c>
      <c r="C1440" s="3" t="s">
        <v>31</v>
      </c>
      <c r="D1440" s="3" t="s">
        <v>32</v>
      </c>
      <c r="E1440" s="4">
        <v>16</v>
      </c>
      <c r="F1440" s="4">
        <v>1259</v>
      </c>
      <c r="G1440" s="3" t="s">
        <v>19</v>
      </c>
      <c r="H1440">
        <v>20144</v>
      </c>
      <c r="I1440">
        <v>15021.83217</v>
      </c>
      <c r="J1440">
        <v>5122.1678339999999</v>
      </c>
      <c r="K1440" s="5">
        <f>IF(Table1[[#This Row],[Revenue]]=0, 0, Table1[[#This Row],[Profit]]/Table1[[#This Row],[Revenue]])</f>
        <v>0.25427759303018266</v>
      </c>
    </row>
    <row r="1441" spans="1:11" x14ac:dyDescent="0.35">
      <c r="A1441" s="1">
        <v>45432</v>
      </c>
      <c r="B1441" s="3" t="s">
        <v>20</v>
      </c>
      <c r="C1441" s="3" t="s">
        <v>11</v>
      </c>
      <c r="D1441" s="3" t="s">
        <v>25</v>
      </c>
      <c r="E1441" s="4">
        <v>8</v>
      </c>
      <c r="F1441" s="4">
        <v>322</v>
      </c>
      <c r="G1441" s="3" t="s">
        <v>13</v>
      </c>
      <c r="H1441">
        <v>2576</v>
      </c>
      <c r="I1441">
        <v>2288.0612799999999</v>
      </c>
      <c r="J1441">
        <v>287.93872019999998</v>
      </c>
      <c r="K1441" s="5">
        <f>IF(Table1[[#This Row],[Revenue]]=0, 0, Table1[[#This Row],[Profit]]/Table1[[#This Row],[Revenue]])</f>
        <v>0.11177745349378881</v>
      </c>
    </row>
    <row r="1442" spans="1:11" x14ac:dyDescent="0.35">
      <c r="A1442" s="1">
        <v>45565</v>
      </c>
      <c r="B1442" s="3" t="s">
        <v>27</v>
      </c>
      <c r="C1442" s="3" t="s">
        <v>28</v>
      </c>
      <c r="D1442" s="3" t="s">
        <v>12</v>
      </c>
      <c r="E1442" s="4">
        <v>16</v>
      </c>
      <c r="F1442" s="4">
        <v>102</v>
      </c>
      <c r="G1442" s="3" t="s">
        <v>16</v>
      </c>
      <c r="H1442">
        <v>1632</v>
      </c>
      <c r="I1442">
        <v>1211.0754420000001</v>
      </c>
      <c r="J1442">
        <v>420.92455799999999</v>
      </c>
      <c r="K1442" s="5">
        <f>IF(Table1[[#This Row],[Revenue]]=0, 0, Table1[[#This Row],[Profit]]/Table1[[#This Row],[Revenue]])</f>
        <v>0.25791945955882351</v>
      </c>
    </row>
    <row r="1443" spans="1:11" x14ac:dyDescent="0.35">
      <c r="A1443" s="1">
        <v>45387</v>
      </c>
      <c r="B1443" s="3" t="s">
        <v>10</v>
      </c>
      <c r="C1443" s="3" t="s">
        <v>22</v>
      </c>
      <c r="D1443" s="3" t="s">
        <v>12</v>
      </c>
      <c r="E1443" s="4">
        <v>17</v>
      </c>
      <c r="F1443" s="4">
        <v>1359</v>
      </c>
      <c r="G1443" s="3" t="s">
        <v>13</v>
      </c>
      <c r="H1443">
        <v>23103</v>
      </c>
      <c r="I1443">
        <v>15614.1356</v>
      </c>
      <c r="J1443">
        <v>7488.8643979999997</v>
      </c>
      <c r="K1443" s="5">
        <f>IF(Table1[[#This Row],[Revenue]]=0, 0, Table1[[#This Row],[Profit]]/Table1[[#This Row],[Revenue]])</f>
        <v>0.32415116642860231</v>
      </c>
    </row>
    <row r="1444" spans="1:11" x14ac:dyDescent="0.35">
      <c r="A1444" s="1">
        <v>45518</v>
      </c>
      <c r="B1444" s="3" t="s">
        <v>23</v>
      </c>
      <c r="C1444" s="3" t="s">
        <v>17</v>
      </c>
      <c r="D1444" s="3" t="s">
        <v>15</v>
      </c>
      <c r="E1444" s="4">
        <v>19</v>
      </c>
      <c r="F1444" s="4">
        <v>953</v>
      </c>
      <c r="G1444" s="3" t="s">
        <v>19</v>
      </c>
      <c r="H1444">
        <v>18107</v>
      </c>
      <c r="I1444">
        <v>12771.28124</v>
      </c>
      <c r="J1444">
        <v>5335.7187640000002</v>
      </c>
      <c r="K1444" s="5">
        <f>IF(Table1[[#This Row],[Revenue]]=0, 0, Table1[[#This Row],[Profit]]/Table1[[#This Row],[Revenue]])</f>
        <v>0.2946771284033799</v>
      </c>
    </row>
    <row r="1445" spans="1:11" x14ac:dyDescent="0.35">
      <c r="A1445" s="1">
        <v>45330</v>
      </c>
      <c r="B1445" s="3" t="s">
        <v>23</v>
      </c>
      <c r="C1445" s="3" t="s">
        <v>17</v>
      </c>
      <c r="D1445" s="3" t="s">
        <v>21</v>
      </c>
      <c r="E1445" s="4">
        <v>15</v>
      </c>
      <c r="F1445" s="4">
        <v>1588</v>
      </c>
      <c r="G1445" s="3" t="s">
        <v>19</v>
      </c>
      <c r="H1445">
        <v>23820</v>
      </c>
      <c r="I1445">
        <v>20616.811119999998</v>
      </c>
      <c r="J1445">
        <v>3203.1888829999998</v>
      </c>
      <c r="K1445" s="5">
        <f>IF(Table1[[#This Row],[Revenue]]=0, 0, Table1[[#This Row],[Profit]]/Table1[[#This Row],[Revenue]])</f>
        <v>0.13447476418975651</v>
      </c>
    </row>
    <row r="1446" spans="1:11" x14ac:dyDescent="0.35">
      <c r="A1446" s="1">
        <v>45320</v>
      </c>
      <c r="B1446" s="3" t="s">
        <v>27</v>
      </c>
      <c r="C1446" s="3" t="s">
        <v>24</v>
      </c>
      <c r="D1446" s="3" t="s">
        <v>21</v>
      </c>
      <c r="E1446" s="4">
        <v>15</v>
      </c>
      <c r="F1446" s="4">
        <v>1012</v>
      </c>
      <c r="G1446" s="3" t="s">
        <v>19</v>
      </c>
      <c r="H1446">
        <v>15180</v>
      </c>
      <c r="I1446">
        <v>13434.790199999999</v>
      </c>
      <c r="J1446">
        <v>1745.209795</v>
      </c>
      <c r="K1446" s="5">
        <f>IF(Table1[[#This Row],[Revenue]]=0, 0, Table1[[#This Row],[Profit]]/Table1[[#This Row],[Revenue]])</f>
        <v>0.11496770718050066</v>
      </c>
    </row>
    <row r="1447" spans="1:11" x14ac:dyDescent="0.35">
      <c r="A1447" s="1">
        <v>45609</v>
      </c>
      <c r="B1447" s="3" t="s">
        <v>23</v>
      </c>
      <c r="C1447" s="3" t="s">
        <v>14</v>
      </c>
      <c r="D1447" s="3" t="s">
        <v>15</v>
      </c>
      <c r="E1447" s="4">
        <v>2</v>
      </c>
      <c r="F1447" s="4">
        <v>1777</v>
      </c>
      <c r="G1447" s="3" t="s">
        <v>16</v>
      </c>
      <c r="H1447">
        <v>3554</v>
      </c>
      <c r="I1447">
        <v>2877.6123779999998</v>
      </c>
      <c r="J1447">
        <v>676.38762169999995</v>
      </c>
      <c r="K1447" s="5">
        <f>IF(Table1[[#This Row],[Revenue]]=0, 0, Table1[[#This Row],[Profit]]/Table1[[#This Row],[Revenue]])</f>
        <v>0.19031728241418119</v>
      </c>
    </row>
    <row r="1448" spans="1:11" x14ac:dyDescent="0.35">
      <c r="A1448" s="1">
        <v>45536</v>
      </c>
      <c r="B1448" s="3" t="s">
        <v>10</v>
      </c>
      <c r="C1448" s="3" t="s">
        <v>31</v>
      </c>
      <c r="D1448" s="3" t="s">
        <v>29</v>
      </c>
      <c r="E1448" s="4">
        <v>11</v>
      </c>
      <c r="F1448" s="4">
        <v>598</v>
      </c>
      <c r="G1448" s="3" t="s">
        <v>19</v>
      </c>
      <c r="H1448">
        <v>6578</v>
      </c>
      <c r="I1448">
        <v>4952.448367</v>
      </c>
      <c r="J1448">
        <v>1625.551633</v>
      </c>
      <c r="K1448" s="5">
        <f>IF(Table1[[#This Row],[Revenue]]=0, 0, Table1[[#This Row],[Profit]]/Table1[[#This Row],[Revenue]])</f>
        <v>0.24711943341441167</v>
      </c>
    </row>
    <row r="1449" spans="1:11" x14ac:dyDescent="0.35">
      <c r="A1449" s="1">
        <v>45527</v>
      </c>
      <c r="B1449" s="3" t="s">
        <v>23</v>
      </c>
      <c r="C1449" s="3" t="s">
        <v>17</v>
      </c>
      <c r="D1449" s="3" t="s">
        <v>15</v>
      </c>
      <c r="E1449" s="4">
        <v>1</v>
      </c>
      <c r="F1449" s="4">
        <v>620</v>
      </c>
      <c r="G1449" s="3" t="s">
        <v>19</v>
      </c>
      <c r="H1449">
        <v>620</v>
      </c>
      <c r="I1449">
        <v>405.98014189999998</v>
      </c>
      <c r="J1449">
        <v>214.01985809999999</v>
      </c>
      <c r="K1449" s="5">
        <f>IF(Table1[[#This Row],[Revenue]]=0, 0, Table1[[#This Row],[Profit]]/Table1[[#This Row],[Revenue]])</f>
        <v>0.34519331951612903</v>
      </c>
    </row>
    <row r="1450" spans="1:11" x14ac:dyDescent="0.35">
      <c r="A1450" s="1">
        <v>45476</v>
      </c>
      <c r="B1450" s="3" t="s">
        <v>20</v>
      </c>
      <c r="C1450" s="3" t="s">
        <v>26</v>
      </c>
      <c r="D1450" s="3" t="s">
        <v>32</v>
      </c>
      <c r="E1450" s="4">
        <v>15</v>
      </c>
      <c r="F1450" s="4">
        <v>801</v>
      </c>
      <c r="G1450" s="3" t="s">
        <v>19</v>
      </c>
      <c r="H1450">
        <v>12015</v>
      </c>
      <c r="I1450">
        <v>7653.150138</v>
      </c>
      <c r="J1450">
        <v>4361.849862</v>
      </c>
      <c r="K1450" s="5">
        <f>IF(Table1[[#This Row],[Revenue]]=0, 0, Table1[[#This Row],[Profit]]/Table1[[#This Row],[Revenue]])</f>
        <v>0.36303369637952559</v>
      </c>
    </row>
    <row r="1451" spans="1:11" x14ac:dyDescent="0.35">
      <c r="A1451" s="1">
        <v>45563</v>
      </c>
      <c r="B1451" s="3" t="s">
        <v>20</v>
      </c>
      <c r="C1451" s="3" t="s">
        <v>11</v>
      </c>
      <c r="D1451" s="3" t="s">
        <v>25</v>
      </c>
      <c r="E1451" s="4">
        <v>19</v>
      </c>
      <c r="F1451" s="4">
        <v>1985</v>
      </c>
      <c r="G1451" s="3" t="s">
        <v>13</v>
      </c>
      <c r="H1451">
        <v>37715</v>
      </c>
      <c r="I1451">
        <v>23305.22928</v>
      </c>
      <c r="J1451">
        <v>14409.77072</v>
      </c>
      <c r="K1451" s="5">
        <f>IF(Table1[[#This Row],[Revenue]]=0, 0, Table1[[#This Row],[Profit]]/Table1[[#This Row],[Revenue]])</f>
        <v>0.38207001776481508</v>
      </c>
    </row>
    <row r="1452" spans="1:11" x14ac:dyDescent="0.35">
      <c r="A1452" s="1">
        <v>45527</v>
      </c>
      <c r="B1452" s="3" t="s">
        <v>27</v>
      </c>
      <c r="C1452" s="3" t="s">
        <v>22</v>
      </c>
      <c r="D1452" s="3" t="s">
        <v>29</v>
      </c>
      <c r="E1452" s="4">
        <v>4</v>
      </c>
      <c r="F1452" s="4">
        <v>1016</v>
      </c>
      <c r="G1452" s="3" t="s">
        <v>13</v>
      </c>
      <c r="H1452">
        <v>4064</v>
      </c>
      <c r="I1452">
        <v>2459.9980179999998</v>
      </c>
      <c r="J1452">
        <v>1604.001982</v>
      </c>
      <c r="K1452" s="5">
        <f>IF(Table1[[#This Row],[Revenue]]=0, 0, Table1[[#This Row],[Profit]]/Table1[[#This Row],[Revenue]])</f>
        <v>0.39468552706692911</v>
      </c>
    </row>
    <row r="1453" spans="1:11" x14ac:dyDescent="0.35">
      <c r="A1453" s="1">
        <v>45530</v>
      </c>
      <c r="B1453" s="3" t="s">
        <v>10</v>
      </c>
      <c r="C1453" s="3" t="s">
        <v>24</v>
      </c>
      <c r="D1453" s="3" t="s">
        <v>25</v>
      </c>
      <c r="E1453" s="4">
        <v>11</v>
      </c>
      <c r="F1453" s="4">
        <v>1800</v>
      </c>
      <c r="G1453" s="3" t="s">
        <v>19</v>
      </c>
      <c r="H1453">
        <v>19800</v>
      </c>
      <c r="I1453">
        <v>17096.013330000002</v>
      </c>
      <c r="J1453">
        <v>2703.9866710000001</v>
      </c>
      <c r="K1453" s="5">
        <f>IF(Table1[[#This Row],[Revenue]]=0, 0, Table1[[#This Row],[Profit]]/Table1[[#This Row],[Revenue]])</f>
        <v>0.13656498338383838</v>
      </c>
    </row>
    <row r="1454" spans="1:11" x14ac:dyDescent="0.35">
      <c r="A1454" s="1">
        <v>45557</v>
      </c>
      <c r="B1454" s="3" t="s">
        <v>10</v>
      </c>
      <c r="C1454" s="3" t="s">
        <v>14</v>
      </c>
      <c r="D1454" s="3" t="s">
        <v>32</v>
      </c>
      <c r="E1454" s="4">
        <v>5</v>
      </c>
      <c r="F1454" s="4">
        <v>1262</v>
      </c>
      <c r="G1454" s="3" t="s">
        <v>16</v>
      </c>
      <c r="H1454">
        <v>6310</v>
      </c>
      <c r="I1454">
        <v>5317.6003959999998</v>
      </c>
      <c r="J1454">
        <v>992.3996042</v>
      </c>
      <c r="K1454" s="5">
        <f>IF(Table1[[#This Row],[Revenue]]=0, 0, Table1[[#This Row],[Profit]]/Table1[[#This Row],[Revenue]])</f>
        <v>0.15727410526148969</v>
      </c>
    </row>
    <row r="1455" spans="1:11" x14ac:dyDescent="0.35">
      <c r="A1455" s="1">
        <v>45650</v>
      </c>
      <c r="B1455" s="3" t="s">
        <v>20</v>
      </c>
      <c r="C1455" s="3" t="s">
        <v>28</v>
      </c>
      <c r="D1455" s="3" t="s">
        <v>18</v>
      </c>
      <c r="E1455" s="4">
        <v>3</v>
      </c>
      <c r="F1455" s="4">
        <v>1399</v>
      </c>
      <c r="G1455" s="3" t="s">
        <v>16</v>
      </c>
      <c r="H1455">
        <v>4197</v>
      </c>
      <c r="I1455">
        <v>3233.1439</v>
      </c>
      <c r="J1455">
        <v>963.85609980000004</v>
      </c>
      <c r="K1455" s="5">
        <f>IF(Table1[[#This Row],[Revenue]]=0, 0, Table1[[#This Row],[Profit]]/Table1[[#This Row],[Revenue]])</f>
        <v>0.2296535858470336</v>
      </c>
    </row>
    <row r="1456" spans="1:11" x14ac:dyDescent="0.35">
      <c r="A1456" s="1">
        <v>45631</v>
      </c>
      <c r="B1456" s="3" t="s">
        <v>23</v>
      </c>
      <c r="C1456" s="3" t="s">
        <v>11</v>
      </c>
      <c r="D1456" s="3" t="s">
        <v>15</v>
      </c>
      <c r="E1456" s="4">
        <v>13</v>
      </c>
      <c r="F1456" s="4">
        <v>390</v>
      </c>
      <c r="G1456" s="3" t="s">
        <v>13</v>
      </c>
      <c r="H1456">
        <v>5070</v>
      </c>
      <c r="I1456">
        <v>4561.05807</v>
      </c>
      <c r="J1456">
        <v>508.94192980000003</v>
      </c>
      <c r="K1456" s="5">
        <f>IF(Table1[[#This Row],[Revenue]]=0, 0, Table1[[#This Row],[Profit]]/Table1[[#This Row],[Revenue]])</f>
        <v>0.10038302362919133</v>
      </c>
    </row>
    <row r="1457" spans="1:11" x14ac:dyDescent="0.35">
      <c r="A1457" s="1">
        <v>45356</v>
      </c>
      <c r="B1457" s="3" t="s">
        <v>27</v>
      </c>
      <c r="C1457" s="3" t="s">
        <v>31</v>
      </c>
      <c r="D1457" s="3" t="s">
        <v>15</v>
      </c>
      <c r="E1457" s="4">
        <v>10</v>
      </c>
      <c r="F1457" s="4">
        <v>1176</v>
      </c>
      <c r="G1457" s="3" t="s">
        <v>19</v>
      </c>
      <c r="H1457">
        <v>11760</v>
      </c>
      <c r="I1457">
        <v>10418.36771</v>
      </c>
      <c r="J1457">
        <v>1341.6322889999999</v>
      </c>
      <c r="K1457" s="5">
        <f>IF(Table1[[#This Row],[Revenue]]=0, 0, Table1[[#This Row],[Profit]]/Table1[[#This Row],[Revenue]])</f>
        <v>0.11408437831632652</v>
      </c>
    </row>
    <row r="1458" spans="1:11" x14ac:dyDescent="0.35">
      <c r="A1458" s="1">
        <v>45468</v>
      </c>
      <c r="B1458" s="3" t="s">
        <v>23</v>
      </c>
      <c r="C1458" s="3" t="s">
        <v>24</v>
      </c>
      <c r="D1458" s="3" t="s">
        <v>30</v>
      </c>
      <c r="E1458" s="4">
        <v>11</v>
      </c>
      <c r="F1458" s="4">
        <v>1810</v>
      </c>
      <c r="G1458" s="3" t="s">
        <v>19</v>
      </c>
      <c r="H1458">
        <v>19910</v>
      </c>
      <c r="I1458">
        <v>15858.96588</v>
      </c>
      <c r="J1458">
        <v>4051.034118</v>
      </c>
      <c r="K1458" s="5">
        <f>IF(Table1[[#This Row],[Revenue]]=0, 0, Table1[[#This Row],[Profit]]/Table1[[#This Row],[Revenue]])</f>
        <v>0.20346730878955299</v>
      </c>
    </row>
    <row r="1459" spans="1:11" x14ac:dyDescent="0.35">
      <c r="A1459" s="1">
        <v>45294</v>
      </c>
      <c r="B1459" s="3" t="s">
        <v>23</v>
      </c>
      <c r="C1459" s="3" t="s">
        <v>14</v>
      </c>
      <c r="D1459" s="3" t="s">
        <v>21</v>
      </c>
      <c r="E1459" s="4">
        <v>18</v>
      </c>
      <c r="F1459" s="4">
        <v>1233</v>
      </c>
      <c r="G1459" s="3" t="s">
        <v>16</v>
      </c>
      <c r="H1459">
        <v>22194</v>
      </c>
      <c r="I1459">
        <v>16409.630379999999</v>
      </c>
      <c r="J1459">
        <v>5784.3696179999997</v>
      </c>
      <c r="K1459" s="5">
        <f>IF(Table1[[#This Row],[Revenue]]=0, 0, Table1[[#This Row],[Profit]]/Table1[[#This Row],[Revenue]])</f>
        <v>0.26062762989997296</v>
      </c>
    </row>
    <row r="1460" spans="1:11" x14ac:dyDescent="0.35">
      <c r="A1460" s="1">
        <v>45433</v>
      </c>
      <c r="B1460" s="3" t="s">
        <v>23</v>
      </c>
      <c r="C1460" s="3" t="s">
        <v>22</v>
      </c>
      <c r="D1460" s="3" t="s">
        <v>29</v>
      </c>
      <c r="E1460" s="4">
        <v>2</v>
      </c>
      <c r="F1460" s="4">
        <v>814</v>
      </c>
      <c r="G1460" s="3" t="s">
        <v>13</v>
      </c>
      <c r="H1460">
        <v>1628</v>
      </c>
      <c r="I1460">
        <v>1051.1201779999999</v>
      </c>
      <c r="J1460">
        <v>576.8798223</v>
      </c>
      <c r="K1460" s="5">
        <f>IF(Table1[[#This Row],[Revenue]]=0, 0, Table1[[#This Row],[Profit]]/Table1[[#This Row],[Revenue]])</f>
        <v>0.35434878519656021</v>
      </c>
    </row>
    <row r="1461" spans="1:11" x14ac:dyDescent="0.35">
      <c r="A1461" s="1">
        <v>45449</v>
      </c>
      <c r="B1461" s="3" t="s">
        <v>10</v>
      </c>
      <c r="C1461" s="3" t="s">
        <v>22</v>
      </c>
      <c r="D1461" s="3" t="s">
        <v>12</v>
      </c>
      <c r="E1461" s="4">
        <v>7</v>
      </c>
      <c r="F1461" s="4">
        <v>1047</v>
      </c>
      <c r="G1461" s="3" t="s">
        <v>13</v>
      </c>
      <c r="H1461">
        <v>7329</v>
      </c>
      <c r="I1461">
        <v>5531.0361000000003</v>
      </c>
      <c r="J1461">
        <v>1797.9639</v>
      </c>
      <c r="K1461" s="5">
        <f>IF(Table1[[#This Row],[Revenue]]=0, 0, Table1[[#This Row],[Profit]]/Table1[[#This Row],[Revenue]])</f>
        <v>0.24532185837085549</v>
      </c>
    </row>
    <row r="1462" spans="1:11" x14ac:dyDescent="0.35">
      <c r="A1462" s="1">
        <v>45615</v>
      </c>
      <c r="B1462" s="3" t="s">
        <v>20</v>
      </c>
      <c r="C1462" s="3" t="s">
        <v>28</v>
      </c>
      <c r="D1462" s="3" t="s">
        <v>44</v>
      </c>
      <c r="E1462" s="4">
        <v>9</v>
      </c>
      <c r="F1462" s="4">
        <v>747</v>
      </c>
      <c r="G1462" s="3" t="s">
        <v>16</v>
      </c>
      <c r="H1462">
        <v>6723</v>
      </c>
      <c r="I1462">
        <v>4351.9532140000001</v>
      </c>
      <c r="J1462">
        <v>2371.0467859999999</v>
      </c>
      <c r="K1462" s="5">
        <f>IF(Table1[[#This Row],[Revenue]]=0, 0, Table1[[#This Row],[Profit]]/Table1[[#This Row],[Revenue]])</f>
        <v>0.35267689811096237</v>
      </c>
    </row>
    <row r="1463" spans="1:11" x14ac:dyDescent="0.35">
      <c r="A1463" s="1">
        <v>45437</v>
      </c>
      <c r="B1463" s="3" t="s">
        <v>10</v>
      </c>
      <c r="C1463" s="3" t="s">
        <v>26</v>
      </c>
      <c r="D1463" s="3" t="s">
        <v>29</v>
      </c>
      <c r="E1463" s="4">
        <v>10</v>
      </c>
      <c r="F1463" s="4">
        <v>1127</v>
      </c>
      <c r="G1463" s="3" t="s">
        <v>19</v>
      </c>
      <c r="H1463">
        <v>11270</v>
      </c>
      <c r="I1463">
        <v>8109.1638599999997</v>
      </c>
      <c r="J1463">
        <v>3160.8361399999999</v>
      </c>
      <c r="K1463" s="5">
        <f>IF(Table1[[#This Row],[Revenue]]=0, 0, Table1[[#This Row],[Profit]]/Table1[[#This Row],[Revenue]])</f>
        <v>0.28046460869565215</v>
      </c>
    </row>
    <row r="1464" spans="1:11" x14ac:dyDescent="0.35">
      <c r="A1464" s="1">
        <v>45584</v>
      </c>
      <c r="B1464" s="3" t="s">
        <v>20</v>
      </c>
      <c r="C1464" s="3" t="s">
        <v>28</v>
      </c>
      <c r="D1464" s="3" t="s">
        <v>30</v>
      </c>
      <c r="E1464" s="4">
        <v>18</v>
      </c>
      <c r="F1464" s="4">
        <v>1790</v>
      </c>
      <c r="G1464" s="3" t="s">
        <v>16</v>
      </c>
      <c r="H1464">
        <v>32220</v>
      </c>
      <c r="I1464">
        <v>28443.636620000001</v>
      </c>
      <c r="J1464">
        <v>3776.3633840000002</v>
      </c>
      <c r="K1464" s="5">
        <f>IF(Table1[[#This Row],[Revenue]]=0, 0, Table1[[#This Row],[Profit]]/Table1[[#This Row],[Revenue]])</f>
        <v>0.11720556747361888</v>
      </c>
    </row>
    <row r="1465" spans="1:11" x14ac:dyDescent="0.35">
      <c r="A1465" s="1">
        <v>45444</v>
      </c>
      <c r="B1465" s="3" t="s">
        <v>27</v>
      </c>
      <c r="C1465" s="3" t="s">
        <v>31</v>
      </c>
      <c r="D1465" s="3" t="s">
        <v>30</v>
      </c>
      <c r="E1465" s="4">
        <v>7</v>
      </c>
      <c r="F1465" s="4">
        <v>783</v>
      </c>
      <c r="G1465" s="3" t="s">
        <v>19</v>
      </c>
      <c r="H1465">
        <v>5481</v>
      </c>
      <c r="I1465">
        <v>3850.916052</v>
      </c>
      <c r="J1465">
        <v>1630.083948</v>
      </c>
      <c r="K1465" s="5">
        <f>IF(Table1[[#This Row],[Revenue]]=0, 0, Table1[[#This Row],[Profit]]/Table1[[#This Row],[Revenue]])</f>
        <v>0.2974063032293377</v>
      </c>
    </row>
    <row r="1466" spans="1:11" x14ac:dyDescent="0.35">
      <c r="A1466" s="1">
        <v>45484</v>
      </c>
      <c r="B1466" s="3" t="s">
        <v>27</v>
      </c>
      <c r="C1466" s="3" t="s">
        <v>24</v>
      </c>
      <c r="D1466" s="3" t="s">
        <v>25</v>
      </c>
      <c r="E1466" s="4">
        <v>7</v>
      </c>
      <c r="F1466" s="4">
        <v>969</v>
      </c>
      <c r="G1466" s="3" t="s">
        <v>19</v>
      </c>
      <c r="H1466">
        <v>6783</v>
      </c>
      <c r="I1466">
        <v>4380.7068230000004</v>
      </c>
      <c r="J1466">
        <v>2402.293177</v>
      </c>
      <c r="K1466" s="5">
        <f>IF(Table1[[#This Row],[Revenue]]=0, 0, Table1[[#This Row],[Profit]]/Table1[[#This Row],[Revenue]])</f>
        <v>0.35416381792717089</v>
      </c>
    </row>
    <row r="1467" spans="1:11" x14ac:dyDescent="0.35">
      <c r="A1467" s="1">
        <v>45364</v>
      </c>
      <c r="B1467" s="3" t="s">
        <v>23</v>
      </c>
      <c r="C1467" s="3" t="s">
        <v>24</v>
      </c>
      <c r="D1467" s="3" t="s">
        <v>12</v>
      </c>
      <c r="E1467" s="4">
        <v>3</v>
      </c>
      <c r="F1467" s="4">
        <v>1170</v>
      </c>
      <c r="G1467" s="3" t="s">
        <v>19</v>
      </c>
      <c r="H1467">
        <v>3510</v>
      </c>
      <c r="I1467">
        <v>2719.2636240000002</v>
      </c>
      <c r="J1467">
        <v>790.73637570000005</v>
      </c>
      <c r="K1467" s="5">
        <f>IF(Table1[[#This Row],[Revenue]]=0, 0, Table1[[#This Row],[Profit]]/Table1[[#This Row],[Revenue]])</f>
        <v>0.22528101871794873</v>
      </c>
    </row>
    <row r="1468" spans="1:11" x14ac:dyDescent="0.35">
      <c r="A1468" s="1">
        <v>45596</v>
      </c>
      <c r="B1468" s="3" t="s">
        <v>20</v>
      </c>
      <c r="C1468" s="3" t="s">
        <v>17</v>
      </c>
      <c r="D1468" s="3" t="s">
        <v>21</v>
      </c>
      <c r="E1468" s="4">
        <v>12</v>
      </c>
      <c r="F1468" s="4">
        <v>193</v>
      </c>
      <c r="G1468" s="3" t="s">
        <v>19</v>
      </c>
      <c r="H1468">
        <v>2316</v>
      </c>
      <c r="I1468">
        <v>1808.1226280000001</v>
      </c>
      <c r="J1468">
        <v>507.87737179999999</v>
      </c>
      <c r="K1468" s="5">
        <f>IF(Table1[[#This Row],[Revenue]]=0, 0, Table1[[#This Row],[Profit]]/Table1[[#This Row],[Revenue]])</f>
        <v>0.21929074775474958</v>
      </c>
    </row>
    <row r="1469" spans="1:11" x14ac:dyDescent="0.35">
      <c r="A1469" s="1">
        <v>45635</v>
      </c>
      <c r="B1469" s="3" t="s">
        <v>20</v>
      </c>
      <c r="C1469" s="3" t="s">
        <v>26</v>
      </c>
      <c r="D1469" s="3" t="s">
        <v>25</v>
      </c>
      <c r="E1469" s="4">
        <v>7</v>
      </c>
      <c r="F1469" s="4">
        <v>1039</v>
      </c>
      <c r="G1469" s="3" t="s">
        <v>19</v>
      </c>
      <c r="H1469">
        <v>7273</v>
      </c>
      <c r="I1469">
        <v>4786.6614769999996</v>
      </c>
      <c r="J1469">
        <v>2486.3385229999999</v>
      </c>
      <c r="K1469" s="5">
        <f>IF(Table1[[#This Row],[Revenue]]=0, 0, Table1[[#This Row],[Profit]]/Table1[[#This Row],[Revenue]])</f>
        <v>0.34185872721022958</v>
      </c>
    </row>
    <row r="1470" spans="1:11" x14ac:dyDescent="0.35">
      <c r="A1470" s="1">
        <v>45431</v>
      </c>
      <c r="B1470" s="3" t="s">
        <v>20</v>
      </c>
      <c r="C1470" s="3" t="s">
        <v>26</v>
      </c>
      <c r="D1470" s="3" t="s">
        <v>25</v>
      </c>
      <c r="E1470" s="4">
        <v>17</v>
      </c>
      <c r="F1470" s="4">
        <v>659</v>
      </c>
      <c r="G1470" s="3" t="s">
        <v>19</v>
      </c>
      <c r="H1470">
        <v>11203</v>
      </c>
      <c r="I1470">
        <v>7382.5078620000004</v>
      </c>
      <c r="J1470">
        <v>3820.4921380000001</v>
      </c>
      <c r="K1470" s="5">
        <f>IF(Table1[[#This Row],[Revenue]]=0, 0, Table1[[#This Row],[Profit]]/Table1[[#This Row],[Revenue]])</f>
        <v>0.3410240237436401</v>
      </c>
    </row>
    <row r="1471" spans="1:11" x14ac:dyDescent="0.35">
      <c r="A1471" s="1">
        <v>45478</v>
      </c>
      <c r="B1471" s="3" t="s">
        <v>23</v>
      </c>
      <c r="C1471" s="3" t="s">
        <v>24</v>
      </c>
      <c r="D1471" s="3" t="s">
        <v>32</v>
      </c>
      <c r="E1471" s="4">
        <v>1</v>
      </c>
      <c r="F1471" s="4">
        <v>1875</v>
      </c>
      <c r="G1471" s="3" t="s">
        <v>19</v>
      </c>
      <c r="H1471">
        <v>1875</v>
      </c>
      <c r="I1471">
        <v>1681.621758</v>
      </c>
      <c r="J1471">
        <v>193.3782424</v>
      </c>
      <c r="K1471" s="5">
        <f>IF(Table1[[#This Row],[Revenue]]=0, 0, Table1[[#This Row],[Profit]]/Table1[[#This Row],[Revenue]])</f>
        <v>0.10313506261333334</v>
      </c>
    </row>
    <row r="1472" spans="1:11" x14ac:dyDescent="0.35">
      <c r="A1472" s="1">
        <v>45584</v>
      </c>
      <c r="B1472" s="3" t="s">
        <v>23</v>
      </c>
      <c r="C1472" s="3" t="s">
        <v>24</v>
      </c>
      <c r="D1472" s="3" t="s">
        <v>12</v>
      </c>
      <c r="E1472" s="4">
        <v>5</v>
      </c>
      <c r="F1472" s="4">
        <v>1982</v>
      </c>
      <c r="G1472" s="3" t="s">
        <v>19</v>
      </c>
      <c r="H1472">
        <v>9910</v>
      </c>
      <c r="I1472">
        <v>6669.2746299999999</v>
      </c>
      <c r="J1472">
        <v>3240.7253700000001</v>
      </c>
      <c r="K1472" s="5">
        <f>IF(Table1[[#This Row],[Revenue]]=0, 0, Table1[[#This Row],[Profit]]/Table1[[#This Row],[Revenue]])</f>
        <v>0.32701567810292637</v>
      </c>
    </row>
    <row r="1473" spans="1:11" x14ac:dyDescent="0.35">
      <c r="A1473" s="1">
        <v>45352</v>
      </c>
      <c r="B1473" s="3" t="s">
        <v>27</v>
      </c>
      <c r="C1473" s="3" t="s">
        <v>11</v>
      </c>
      <c r="D1473" s="3" t="s">
        <v>21</v>
      </c>
      <c r="E1473" s="4">
        <v>16</v>
      </c>
      <c r="F1473" s="4">
        <v>312</v>
      </c>
      <c r="G1473" s="3" t="s">
        <v>13</v>
      </c>
      <c r="H1473">
        <v>4992</v>
      </c>
      <c r="I1473">
        <v>4250.4763910000001</v>
      </c>
      <c r="J1473">
        <v>741.52360869999995</v>
      </c>
      <c r="K1473" s="5">
        <f>IF(Table1[[#This Row],[Revenue]]=0, 0, Table1[[#This Row],[Profit]]/Table1[[#This Row],[Revenue]])</f>
        <v>0.14854238956330126</v>
      </c>
    </row>
    <row r="1474" spans="1:11" x14ac:dyDescent="0.35">
      <c r="A1474" s="1">
        <v>45489</v>
      </c>
      <c r="B1474" s="3" t="s">
        <v>10</v>
      </c>
      <c r="C1474" s="3" t="s">
        <v>14</v>
      </c>
      <c r="D1474" s="3" t="s">
        <v>15</v>
      </c>
      <c r="E1474" s="4">
        <v>15</v>
      </c>
      <c r="F1474" s="4">
        <v>535</v>
      </c>
      <c r="G1474" s="3" t="s">
        <v>16</v>
      </c>
      <c r="H1474">
        <v>8025</v>
      </c>
      <c r="I1474">
        <v>5947.3046100000001</v>
      </c>
      <c r="J1474">
        <v>2077.6953899999999</v>
      </c>
      <c r="K1474" s="5">
        <f>IF(Table1[[#This Row],[Revenue]]=0, 0, Table1[[#This Row],[Profit]]/Table1[[#This Row],[Revenue]])</f>
        <v>0.25890285233644861</v>
      </c>
    </row>
    <row r="1475" spans="1:11" x14ac:dyDescent="0.35">
      <c r="A1475" s="1">
        <v>45586</v>
      </c>
      <c r="B1475" s="3" t="s">
        <v>20</v>
      </c>
      <c r="C1475" s="3" t="s">
        <v>11</v>
      </c>
      <c r="D1475" s="3" t="s">
        <v>32</v>
      </c>
      <c r="E1475" s="4">
        <v>2</v>
      </c>
      <c r="F1475" s="4">
        <v>951</v>
      </c>
      <c r="G1475" s="3" t="s">
        <v>13</v>
      </c>
      <c r="H1475">
        <v>1902</v>
      </c>
      <c r="I1475">
        <v>1389.4048600000001</v>
      </c>
      <c r="J1475">
        <v>512.59514030000003</v>
      </c>
      <c r="K1475" s="5">
        <f>IF(Table1[[#This Row],[Revenue]]=0, 0, Table1[[#This Row],[Profit]]/Table1[[#This Row],[Revenue]])</f>
        <v>0.26950322833859097</v>
      </c>
    </row>
    <row r="1476" spans="1:11" x14ac:dyDescent="0.35">
      <c r="A1476" s="1">
        <v>45610</v>
      </c>
      <c r="B1476" s="3" t="s">
        <v>20</v>
      </c>
      <c r="C1476" s="3" t="s">
        <v>11</v>
      </c>
      <c r="D1476" s="3" t="s">
        <v>18</v>
      </c>
      <c r="E1476" s="4">
        <v>9</v>
      </c>
      <c r="F1476" s="4">
        <v>607</v>
      </c>
      <c r="G1476" s="3" t="s">
        <v>13</v>
      </c>
      <c r="H1476">
        <v>5463</v>
      </c>
      <c r="I1476">
        <v>3761.2139040000002</v>
      </c>
      <c r="J1476">
        <v>1701.786096</v>
      </c>
      <c r="K1476" s="5">
        <f>IF(Table1[[#This Row],[Revenue]]=0, 0, Table1[[#This Row],[Profit]]/Table1[[#This Row],[Revenue]])</f>
        <v>0.31151127512355847</v>
      </c>
    </row>
    <row r="1477" spans="1:11" x14ac:dyDescent="0.35">
      <c r="A1477" s="1">
        <v>45593</v>
      </c>
      <c r="B1477" s="3" t="s">
        <v>10</v>
      </c>
      <c r="C1477" s="3" t="s">
        <v>26</v>
      </c>
      <c r="D1477" s="3" t="s">
        <v>12</v>
      </c>
      <c r="E1477" s="4">
        <v>7</v>
      </c>
      <c r="F1477" s="4">
        <v>935</v>
      </c>
      <c r="G1477" s="3" t="s">
        <v>19</v>
      </c>
      <c r="H1477">
        <v>6545</v>
      </c>
      <c r="I1477">
        <v>5446.4069520000003</v>
      </c>
      <c r="J1477">
        <v>1098.593048</v>
      </c>
      <c r="K1477" s="5">
        <f>IF(Table1[[#This Row],[Revenue]]=0, 0, Table1[[#This Row],[Profit]]/Table1[[#This Row],[Revenue]])</f>
        <v>0.16785226096256683</v>
      </c>
    </row>
    <row r="1478" spans="1:11" x14ac:dyDescent="0.35">
      <c r="A1478" s="1">
        <v>45635</v>
      </c>
      <c r="B1478" s="3" t="s">
        <v>20</v>
      </c>
      <c r="C1478" s="3" t="s">
        <v>17</v>
      </c>
      <c r="D1478" s="3" t="s">
        <v>21</v>
      </c>
      <c r="E1478" s="4">
        <v>4</v>
      </c>
      <c r="F1478" s="4">
        <v>750</v>
      </c>
      <c r="G1478" s="3" t="s">
        <v>19</v>
      </c>
      <c r="H1478">
        <v>3000</v>
      </c>
      <c r="I1478">
        <v>2592.594791</v>
      </c>
      <c r="J1478">
        <v>407.40520939999999</v>
      </c>
      <c r="K1478" s="5">
        <f>IF(Table1[[#This Row],[Revenue]]=0, 0, Table1[[#This Row],[Profit]]/Table1[[#This Row],[Revenue]])</f>
        <v>0.13580173646666666</v>
      </c>
    </row>
    <row r="1479" spans="1:11" x14ac:dyDescent="0.35">
      <c r="A1479" s="1">
        <v>45302</v>
      </c>
      <c r="B1479" s="3" t="s">
        <v>23</v>
      </c>
      <c r="C1479" s="3" t="s">
        <v>22</v>
      </c>
      <c r="D1479" s="3" t="s">
        <v>30</v>
      </c>
      <c r="E1479" s="4">
        <v>18</v>
      </c>
      <c r="F1479" s="4">
        <v>304</v>
      </c>
      <c r="G1479" s="3" t="s">
        <v>13</v>
      </c>
      <c r="H1479">
        <v>5472</v>
      </c>
      <c r="I1479">
        <v>3711.866841</v>
      </c>
      <c r="J1479">
        <v>1760.133159</v>
      </c>
      <c r="K1479" s="5">
        <f>IF(Table1[[#This Row],[Revenue]]=0, 0, Table1[[#This Row],[Profit]]/Table1[[#This Row],[Revenue]])</f>
        <v>0.3216617615131579</v>
      </c>
    </row>
    <row r="1480" spans="1:11" x14ac:dyDescent="0.35">
      <c r="A1480" s="1">
        <v>45624</v>
      </c>
      <c r="B1480" s="3" t="s">
        <v>20</v>
      </c>
      <c r="C1480" s="3" t="s">
        <v>17</v>
      </c>
      <c r="D1480" s="3" t="s">
        <v>21</v>
      </c>
      <c r="E1480" s="4">
        <v>13</v>
      </c>
      <c r="F1480" s="4">
        <v>1196</v>
      </c>
      <c r="G1480" s="3" t="s">
        <v>19</v>
      </c>
      <c r="H1480">
        <v>15548</v>
      </c>
      <c r="I1480">
        <v>9967.4475619999994</v>
      </c>
      <c r="J1480">
        <v>5580.5524379999997</v>
      </c>
      <c r="K1480" s="5">
        <f>IF(Table1[[#This Row],[Revenue]]=0, 0, Table1[[#This Row],[Profit]]/Table1[[#This Row],[Revenue]])</f>
        <v>0.35892413416516594</v>
      </c>
    </row>
    <row r="1481" spans="1:11" x14ac:dyDescent="0.35">
      <c r="A1481" s="1">
        <v>45517</v>
      </c>
      <c r="B1481" s="3" t="s">
        <v>23</v>
      </c>
      <c r="C1481" s="3" t="s">
        <v>28</v>
      </c>
      <c r="D1481" s="3" t="s">
        <v>29</v>
      </c>
      <c r="E1481" s="4">
        <v>1</v>
      </c>
      <c r="F1481" s="4">
        <v>1639</v>
      </c>
      <c r="G1481" s="3" t="s">
        <v>16</v>
      </c>
      <c r="H1481">
        <v>1639</v>
      </c>
      <c r="I1481">
        <v>1373.2214980000001</v>
      </c>
      <c r="J1481">
        <v>265.778502</v>
      </c>
      <c r="K1481" s="5">
        <f>IF(Table1[[#This Row],[Revenue]]=0, 0, Table1[[#This Row],[Profit]]/Table1[[#This Row],[Revenue]])</f>
        <v>0.16215893959731545</v>
      </c>
    </row>
    <row r="1482" spans="1:11" x14ac:dyDescent="0.35">
      <c r="A1482" s="1">
        <v>45444</v>
      </c>
      <c r="B1482" s="3" t="s">
        <v>23</v>
      </c>
      <c r="C1482" s="3" t="s">
        <v>31</v>
      </c>
      <c r="D1482" s="3" t="s">
        <v>25</v>
      </c>
      <c r="E1482" s="4">
        <v>3</v>
      </c>
      <c r="F1482" s="4">
        <v>1199</v>
      </c>
      <c r="G1482" s="3" t="s">
        <v>19</v>
      </c>
      <c r="H1482">
        <v>3597</v>
      </c>
      <c r="I1482">
        <v>2628.5008200000002</v>
      </c>
      <c r="J1482">
        <v>968.49918000000002</v>
      </c>
      <c r="K1482" s="5">
        <f>IF(Table1[[#This Row],[Revenue]]=0, 0, Table1[[#This Row],[Profit]]/Table1[[#This Row],[Revenue]])</f>
        <v>0.26925192660550462</v>
      </c>
    </row>
    <row r="1483" spans="1:11" x14ac:dyDescent="0.35">
      <c r="A1483" s="1">
        <v>45490</v>
      </c>
      <c r="B1483" s="3" t="s">
        <v>20</v>
      </c>
      <c r="C1483" s="3" t="s">
        <v>11</v>
      </c>
      <c r="D1483" s="3" t="s">
        <v>18</v>
      </c>
      <c r="E1483" s="4">
        <v>16</v>
      </c>
      <c r="F1483" s="4">
        <v>1964</v>
      </c>
      <c r="G1483" s="3" t="s">
        <v>13</v>
      </c>
      <c r="H1483">
        <v>31424</v>
      </c>
      <c r="I1483">
        <v>20097.98587</v>
      </c>
      <c r="J1483">
        <v>11326.01413</v>
      </c>
      <c r="K1483" s="5">
        <f>IF(Table1[[#This Row],[Revenue]]=0, 0, Table1[[#This Row],[Profit]]/Table1[[#This Row],[Revenue]])</f>
        <v>0.36042560240580446</v>
      </c>
    </row>
    <row r="1484" spans="1:11" x14ac:dyDescent="0.35">
      <c r="A1484" s="1">
        <v>45343</v>
      </c>
      <c r="B1484" s="3" t="s">
        <v>27</v>
      </c>
      <c r="C1484" s="3" t="s">
        <v>28</v>
      </c>
      <c r="D1484" s="3" t="s">
        <v>15</v>
      </c>
      <c r="E1484" s="4">
        <v>4</v>
      </c>
      <c r="F1484" s="4">
        <v>176</v>
      </c>
      <c r="G1484" s="3" t="s">
        <v>16</v>
      </c>
      <c r="H1484">
        <v>704</v>
      </c>
      <c r="I1484">
        <v>494.26886919999998</v>
      </c>
      <c r="J1484">
        <v>209.73113079999999</v>
      </c>
      <c r="K1484" s="5">
        <f>IF(Table1[[#This Row],[Revenue]]=0, 0, Table1[[#This Row],[Profit]]/Table1[[#This Row],[Revenue]])</f>
        <v>0.29791353806818183</v>
      </c>
    </row>
    <row r="1485" spans="1:11" x14ac:dyDescent="0.35">
      <c r="A1485" s="1">
        <v>45551</v>
      </c>
      <c r="B1485" s="3" t="s">
        <v>10</v>
      </c>
      <c r="C1485" s="3" t="s">
        <v>22</v>
      </c>
      <c r="D1485" s="3" t="s">
        <v>25</v>
      </c>
      <c r="E1485" s="4">
        <v>0</v>
      </c>
      <c r="F1485" s="4">
        <v>915</v>
      </c>
      <c r="G1485" s="3" t="s">
        <v>13</v>
      </c>
      <c r="H1485">
        <v>0</v>
      </c>
      <c r="I1485">
        <v>0</v>
      </c>
      <c r="J1485">
        <v>0</v>
      </c>
      <c r="K1485" s="5">
        <f>IF(Table1[[#This Row],[Revenue]]=0, 0, Table1[[#This Row],[Profit]]/Table1[[#This Row],[Revenue]])</f>
        <v>0</v>
      </c>
    </row>
    <row r="1486" spans="1:11" x14ac:dyDescent="0.35">
      <c r="A1486" s="1">
        <v>45350</v>
      </c>
      <c r="B1486" s="3" t="s">
        <v>23</v>
      </c>
      <c r="C1486" s="3" t="s">
        <v>31</v>
      </c>
      <c r="D1486" s="3" t="s">
        <v>29</v>
      </c>
      <c r="E1486" s="4">
        <v>19</v>
      </c>
      <c r="F1486" s="4">
        <v>867</v>
      </c>
      <c r="G1486" s="3" t="s">
        <v>19</v>
      </c>
      <c r="H1486">
        <v>16473</v>
      </c>
      <c r="I1486">
        <v>14094.55422</v>
      </c>
      <c r="J1486">
        <v>2378.445784</v>
      </c>
      <c r="K1486" s="5">
        <f>IF(Table1[[#This Row],[Revenue]]=0, 0, Table1[[#This Row],[Profit]]/Table1[[#This Row],[Revenue]])</f>
        <v>0.14438449487039398</v>
      </c>
    </row>
    <row r="1487" spans="1:11" x14ac:dyDescent="0.35">
      <c r="A1487" s="1">
        <v>45439</v>
      </c>
      <c r="B1487" s="3" t="s">
        <v>23</v>
      </c>
      <c r="C1487" s="3" t="s">
        <v>22</v>
      </c>
      <c r="D1487" s="3" t="s">
        <v>18</v>
      </c>
      <c r="E1487" s="4">
        <v>5</v>
      </c>
      <c r="F1487" s="4">
        <v>1737</v>
      </c>
      <c r="G1487" s="3" t="s">
        <v>13</v>
      </c>
      <c r="H1487">
        <v>8685</v>
      </c>
      <c r="I1487">
        <v>5669.6534629999996</v>
      </c>
      <c r="J1487">
        <v>3015.3465369999999</v>
      </c>
      <c r="K1487" s="5">
        <f>IF(Table1[[#This Row],[Revenue]]=0, 0, Table1[[#This Row],[Profit]]/Table1[[#This Row],[Revenue]])</f>
        <v>0.34719015970063327</v>
      </c>
    </row>
    <row r="1488" spans="1:11" x14ac:dyDescent="0.35">
      <c r="A1488" s="1">
        <v>45640</v>
      </c>
      <c r="B1488" s="3" t="s">
        <v>23</v>
      </c>
      <c r="C1488" s="3" t="s">
        <v>11</v>
      </c>
      <c r="D1488" s="3" t="s">
        <v>15</v>
      </c>
      <c r="E1488" s="4">
        <v>19</v>
      </c>
      <c r="F1488" s="4">
        <v>205</v>
      </c>
      <c r="G1488" s="3" t="s">
        <v>13</v>
      </c>
      <c r="H1488">
        <v>3895</v>
      </c>
      <c r="I1488">
        <v>2522.4441189999998</v>
      </c>
      <c r="J1488">
        <v>1372.555881</v>
      </c>
      <c r="K1488" s="5">
        <f>IF(Table1[[#This Row],[Revenue]]=0, 0, Table1[[#This Row],[Profit]]/Table1[[#This Row],[Revenue]])</f>
        <v>0.3523891863928113</v>
      </c>
    </row>
    <row r="1489" spans="1:11" x14ac:dyDescent="0.35">
      <c r="A1489" s="1">
        <v>45354</v>
      </c>
      <c r="B1489" s="3" t="s">
        <v>10</v>
      </c>
      <c r="C1489" s="3" t="s">
        <v>26</v>
      </c>
      <c r="D1489" s="3" t="s">
        <v>30</v>
      </c>
      <c r="E1489" s="4">
        <v>11</v>
      </c>
      <c r="F1489" s="4">
        <v>1968</v>
      </c>
      <c r="G1489" s="3" t="s">
        <v>19</v>
      </c>
      <c r="H1489">
        <v>21648</v>
      </c>
      <c r="I1489">
        <v>15666.663329999999</v>
      </c>
      <c r="J1489">
        <v>5981.3366699999997</v>
      </c>
      <c r="K1489" s="5">
        <f>IF(Table1[[#This Row],[Revenue]]=0, 0, Table1[[#This Row],[Profit]]/Table1[[#This Row],[Revenue]])</f>
        <v>0.27629973531042129</v>
      </c>
    </row>
    <row r="1490" spans="1:11" x14ac:dyDescent="0.35">
      <c r="A1490" s="1">
        <v>45601</v>
      </c>
      <c r="B1490" s="3" t="s">
        <v>23</v>
      </c>
      <c r="C1490" s="3" t="s">
        <v>22</v>
      </c>
      <c r="D1490" s="3" t="s">
        <v>32</v>
      </c>
      <c r="E1490" s="4">
        <v>13</v>
      </c>
      <c r="F1490" s="4">
        <v>650</v>
      </c>
      <c r="G1490" s="3" t="s">
        <v>13</v>
      </c>
      <c r="H1490">
        <v>8450</v>
      </c>
      <c r="I1490">
        <v>5260.6138689999998</v>
      </c>
      <c r="J1490">
        <v>3189.3861310000002</v>
      </c>
      <c r="K1490" s="5">
        <f>IF(Table1[[#This Row],[Revenue]]=0, 0, Table1[[#This Row],[Profit]]/Table1[[#This Row],[Revenue]])</f>
        <v>0.37744214568047341</v>
      </c>
    </row>
    <row r="1491" spans="1:11" x14ac:dyDescent="0.35">
      <c r="A1491" s="1">
        <v>45534</v>
      </c>
      <c r="B1491" s="3" t="s">
        <v>10</v>
      </c>
      <c r="C1491" s="3" t="s">
        <v>22</v>
      </c>
      <c r="D1491" s="3" t="s">
        <v>12</v>
      </c>
      <c r="E1491" s="4">
        <v>5</v>
      </c>
      <c r="F1491" s="4">
        <v>1599</v>
      </c>
      <c r="G1491" s="3" t="s">
        <v>13</v>
      </c>
      <c r="H1491">
        <v>7995</v>
      </c>
      <c r="I1491">
        <v>6609.2519030000003</v>
      </c>
      <c r="J1491">
        <v>1385.7480969999999</v>
      </c>
      <c r="K1491" s="5">
        <f>IF(Table1[[#This Row],[Revenue]]=0, 0, Table1[[#This Row],[Profit]]/Table1[[#This Row],[Revenue]])</f>
        <v>0.17332684140087554</v>
      </c>
    </row>
    <row r="1492" spans="1:11" x14ac:dyDescent="0.35">
      <c r="A1492" s="1">
        <v>45657</v>
      </c>
      <c r="B1492" s="3" t="s">
        <v>10</v>
      </c>
      <c r="C1492" s="3" t="s">
        <v>22</v>
      </c>
      <c r="D1492" s="3" t="s">
        <v>15</v>
      </c>
      <c r="E1492" s="4">
        <v>4</v>
      </c>
      <c r="F1492" s="4">
        <v>925</v>
      </c>
      <c r="G1492" s="3" t="s">
        <v>13</v>
      </c>
      <c r="H1492">
        <v>3700</v>
      </c>
      <c r="I1492">
        <v>2665.6137410000001</v>
      </c>
      <c r="J1492">
        <v>1034.3862590000001</v>
      </c>
      <c r="K1492" s="5">
        <f>IF(Table1[[#This Row],[Revenue]]=0, 0, Table1[[#This Row],[Profit]]/Table1[[#This Row],[Revenue]])</f>
        <v>0.27956385378378379</v>
      </c>
    </row>
    <row r="1493" spans="1:11" x14ac:dyDescent="0.35">
      <c r="A1493" s="1">
        <v>45621</v>
      </c>
      <c r="B1493" s="3" t="s">
        <v>10</v>
      </c>
      <c r="C1493" s="3" t="s">
        <v>31</v>
      </c>
      <c r="D1493" s="3" t="s">
        <v>12</v>
      </c>
      <c r="E1493" s="4">
        <v>4</v>
      </c>
      <c r="F1493" s="4">
        <v>1398</v>
      </c>
      <c r="G1493" s="3" t="s">
        <v>19</v>
      </c>
      <c r="H1493">
        <v>5592</v>
      </c>
      <c r="I1493">
        <v>3930.6566809999999</v>
      </c>
      <c r="J1493">
        <v>1661.3433190000001</v>
      </c>
      <c r="K1493" s="5">
        <f>IF(Table1[[#This Row],[Revenue]]=0, 0, Table1[[#This Row],[Profit]]/Table1[[#This Row],[Revenue]])</f>
        <v>0.29709286820457798</v>
      </c>
    </row>
    <row r="1494" spans="1:11" x14ac:dyDescent="0.35">
      <c r="A1494" s="1">
        <v>45398</v>
      </c>
      <c r="B1494" s="3" t="s">
        <v>27</v>
      </c>
      <c r="C1494" s="3" t="s">
        <v>14</v>
      </c>
      <c r="D1494" s="3" t="s">
        <v>21</v>
      </c>
      <c r="E1494" s="4">
        <v>4</v>
      </c>
      <c r="F1494" s="4">
        <v>187</v>
      </c>
      <c r="G1494" s="3" t="s">
        <v>16</v>
      </c>
      <c r="H1494">
        <v>748</v>
      </c>
      <c r="I1494">
        <v>563.04390980000005</v>
      </c>
      <c r="J1494">
        <v>184.95609020000001</v>
      </c>
      <c r="K1494" s="5">
        <f>IF(Table1[[#This Row],[Revenue]]=0, 0, Table1[[#This Row],[Profit]]/Table1[[#This Row],[Revenue]])</f>
        <v>0.24726750026737968</v>
      </c>
    </row>
    <row r="1495" spans="1:11" x14ac:dyDescent="0.35">
      <c r="A1495" s="1">
        <v>45517</v>
      </c>
      <c r="B1495" s="3" t="s">
        <v>20</v>
      </c>
      <c r="C1495" s="3" t="s">
        <v>17</v>
      </c>
      <c r="D1495" s="3" t="s">
        <v>29</v>
      </c>
      <c r="E1495" s="4">
        <v>4</v>
      </c>
      <c r="F1495" s="4">
        <v>1846</v>
      </c>
      <c r="G1495" s="3" t="s">
        <v>19</v>
      </c>
      <c r="H1495">
        <v>7384</v>
      </c>
      <c r="I1495">
        <v>6000.881112</v>
      </c>
      <c r="J1495">
        <v>1383.118888</v>
      </c>
      <c r="K1495" s="5">
        <f>IF(Table1[[#This Row],[Revenue]]=0, 0, Table1[[#This Row],[Profit]]/Table1[[#This Row],[Revenue]])</f>
        <v>0.18731295882990248</v>
      </c>
    </row>
    <row r="1496" spans="1:11" x14ac:dyDescent="0.35">
      <c r="A1496" s="1">
        <v>45604</v>
      </c>
      <c r="B1496" s="3" t="s">
        <v>27</v>
      </c>
      <c r="C1496" s="3" t="s">
        <v>28</v>
      </c>
      <c r="D1496" s="3" t="s">
        <v>21</v>
      </c>
      <c r="E1496" s="4">
        <v>18</v>
      </c>
      <c r="F1496" s="4">
        <v>980</v>
      </c>
      <c r="G1496" s="3" t="s">
        <v>16</v>
      </c>
      <c r="H1496">
        <v>17640</v>
      </c>
      <c r="I1496">
        <v>13596.98403</v>
      </c>
      <c r="J1496">
        <v>4043.0159699999999</v>
      </c>
      <c r="K1496" s="5">
        <f>IF(Table1[[#This Row],[Revenue]]=0, 0, Table1[[#This Row],[Profit]]/Table1[[#This Row],[Revenue]])</f>
        <v>0.22919591666666667</v>
      </c>
    </row>
    <row r="1497" spans="1:11" x14ac:dyDescent="0.35">
      <c r="A1497" s="1">
        <v>45509</v>
      </c>
      <c r="B1497" s="3" t="s">
        <v>20</v>
      </c>
      <c r="C1497" s="3" t="s">
        <v>26</v>
      </c>
      <c r="D1497" s="3" t="s">
        <v>30</v>
      </c>
      <c r="E1497" s="4">
        <v>18</v>
      </c>
      <c r="F1497" s="4">
        <v>1200</v>
      </c>
      <c r="G1497" s="3" t="s">
        <v>19</v>
      </c>
      <c r="H1497">
        <v>21600</v>
      </c>
      <c r="I1497">
        <v>18159.570029999999</v>
      </c>
      <c r="J1497">
        <v>3440.4299740000001</v>
      </c>
      <c r="K1497" s="5">
        <f>IF(Table1[[#This Row],[Revenue]]=0, 0, Table1[[#This Row],[Profit]]/Table1[[#This Row],[Revenue]])</f>
        <v>0.15927916546296297</v>
      </c>
    </row>
    <row r="1498" spans="1:11" x14ac:dyDescent="0.35">
      <c r="A1498" s="1">
        <v>45532</v>
      </c>
      <c r="B1498" s="3" t="s">
        <v>20</v>
      </c>
      <c r="C1498" s="3" t="s">
        <v>11</v>
      </c>
      <c r="D1498" s="3" t="s">
        <v>21</v>
      </c>
      <c r="E1498" s="4">
        <v>16</v>
      </c>
      <c r="F1498" s="4">
        <v>1200</v>
      </c>
      <c r="G1498" s="3" t="s">
        <v>13</v>
      </c>
      <c r="H1498">
        <v>19200</v>
      </c>
      <c r="I1498">
        <v>15145.12837</v>
      </c>
      <c r="J1498">
        <v>4054.8716319999999</v>
      </c>
      <c r="K1498" s="5">
        <f>IF(Table1[[#This Row],[Revenue]]=0, 0, Table1[[#This Row],[Profit]]/Table1[[#This Row],[Revenue]])</f>
        <v>0.21119123083333333</v>
      </c>
    </row>
    <row r="1499" spans="1:11" x14ac:dyDescent="0.35">
      <c r="A1499" s="1">
        <v>45550</v>
      </c>
      <c r="B1499" s="3" t="s">
        <v>10</v>
      </c>
      <c r="C1499" s="3" t="s">
        <v>11</v>
      </c>
      <c r="D1499" s="3" t="s">
        <v>15</v>
      </c>
      <c r="E1499" s="4">
        <v>9</v>
      </c>
      <c r="F1499" s="4">
        <v>1565</v>
      </c>
      <c r="G1499" s="3" t="s">
        <v>13</v>
      </c>
      <c r="H1499">
        <v>14085</v>
      </c>
      <c r="I1499">
        <v>11780.568359999999</v>
      </c>
      <c r="J1499">
        <v>2304.4316349999999</v>
      </c>
      <c r="K1499" s="5">
        <f>IF(Table1[[#This Row],[Revenue]]=0, 0, Table1[[#This Row],[Profit]]/Table1[[#This Row],[Revenue]])</f>
        <v>0.16360891977280795</v>
      </c>
    </row>
    <row r="1500" spans="1:11" x14ac:dyDescent="0.35">
      <c r="A1500" s="1">
        <v>45553</v>
      </c>
      <c r="B1500" s="3" t="s">
        <v>23</v>
      </c>
      <c r="C1500" s="3" t="s">
        <v>28</v>
      </c>
      <c r="D1500" s="3" t="s">
        <v>21</v>
      </c>
      <c r="E1500" s="4">
        <v>18</v>
      </c>
      <c r="F1500" s="4">
        <v>639</v>
      </c>
      <c r="G1500" s="3" t="s">
        <v>16</v>
      </c>
      <c r="H1500">
        <v>11502</v>
      </c>
      <c r="I1500">
        <v>9305.5169129999995</v>
      </c>
      <c r="J1500">
        <v>2196.4830870000001</v>
      </c>
      <c r="K1500" s="5">
        <f>IF(Table1[[#This Row],[Revenue]]=0, 0, Table1[[#This Row],[Profit]]/Table1[[#This Row],[Revenue]])</f>
        <v>0.19096531794470528</v>
      </c>
    </row>
    <row r="1501" spans="1:11" x14ac:dyDescent="0.35">
      <c r="A1501" s="1">
        <v>45296</v>
      </c>
      <c r="B1501" s="3" t="s">
        <v>10</v>
      </c>
      <c r="C1501" s="3" t="s">
        <v>17</v>
      </c>
      <c r="D1501" s="3" t="s">
        <v>30</v>
      </c>
      <c r="E1501" s="4">
        <v>2</v>
      </c>
      <c r="F1501" s="4">
        <v>344</v>
      </c>
      <c r="G1501" s="3" t="s">
        <v>19</v>
      </c>
      <c r="H1501">
        <v>688</v>
      </c>
      <c r="I1501">
        <v>452.66055419999998</v>
      </c>
      <c r="J1501">
        <v>235.33944579999999</v>
      </c>
      <c r="K1501" s="5">
        <f>IF(Table1[[#This Row],[Revenue]]=0, 0, Table1[[#This Row],[Profit]]/Table1[[#This Row],[Revenue]])</f>
        <v>0.34206314796511628</v>
      </c>
    </row>
    <row r="1502" spans="1:11" x14ac:dyDescent="0.35">
      <c r="A1502" s="1">
        <v>45552</v>
      </c>
      <c r="B1502" s="3" t="s">
        <v>23</v>
      </c>
      <c r="C1502" s="3" t="s">
        <v>22</v>
      </c>
      <c r="D1502" s="3" t="s">
        <v>30</v>
      </c>
      <c r="E1502" s="4">
        <v>4</v>
      </c>
      <c r="F1502" s="4">
        <v>677</v>
      </c>
      <c r="G1502" s="3" t="s">
        <v>13</v>
      </c>
      <c r="H1502">
        <v>2708</v>
      </c>
      <c r="I1502">
        <v>1667.3327549999999</v>
      </c>
      <c r="J1502">
        <v>1040.6672450000001</v>
      </c>
      <c r="K1502" s="5">
        <f>IF(Table1[[#This Row],[Revenue]]=0, 0, Table1[[#This Row],[Profit]]/Table1[[#This Row],[Revenue]])</f>
        <v>0.38429366506646978</v>
      </c>
    </row>
    <row r="1503" spans="1:11" x14ac:dyDescent="0.35">
      <c r="A1503" s="1">
        <v>45338</v>
      </c>
      <c r="B1503" s="3" t="s">
        <v>10</v>
      </c>
      <c r="C1503" s="3" t="s">
        <v>26</v>
      </c>
      <c r="D1503" s="3" t="s">
        <v>15</v>
      </c>
      <c r="E1503" s="4">
        <v>7</v>
      </c>
      <c r="F1503" s="4">
        <v>1505</v>
      </c>
      <c r="G1503" s="3" t="s">
        <v>19</v>
      </c>
      <c r="H1503">
        <v>10535</v>
      </c>
      <c r="I1503">
        <v>9309.7463110000008</v>
      </c>
      <c r="J1503">
        <v>1225.2536889999999</v>
      </c>
      <c r="K1503" s="5">
        <f>IF(Table1[[#This Row],[Revenue]]=0, 0, Table1[[#This Row],[Profit]]/Table1[[#This Row],[Revenue]])</f>
        <v>0.11630315035595633</v>
      </c>
    </row>
    <row r="1504" spans="1:11" x14ac:dyDescent="0.35">
      <c r="A1504" s="1">
        <v>45506</v>
      </c>
      <c r="B1504" s="3" t="s">
        <v>23</v>
      </c>
      <c r="C1504" s="3" t="s">
        <v>11</v>
      </c>
      <c r="D1504" s="3" t="s">
        <v>30</v>
      </c>
      <c r="E1504" s="4">
        <v>15</v>
      </c>
      <c r="F1504" s="4">
        <v>1081</v>
      </c>
      <c r="G1504" s="3" t="s">
        <v>13</v>
      </c>
      <c r="H1504">
        <v>16215</v>
      </c>
      <c r="I1504">
        <v>13265.16216</v>
      </c>
      <c r="J1504">
        <v>2949.8378429999998</v>
      </c>
      <c r="K1504" s="5">
        <f>IF(Table1[[#This Row],[Revenue]]=0, 0, Table1[[#This Row],[Profit]]/Table1[[#This Row],[Revenue]])</f>
        <v>0.18192031100832562</v>
      </c>
    </row>
    <row r="1505" spans="1:11" x14ac:dyDescent="0.35">
      <c r="A1505" s="1">
        <v>45468</v>
      </c>
      <c r="B1505" s="3" t="s">
        <v>27</v>
      </c>
      <c r="C1505" s="3" t="s">
        <v>28</v>
      </c>
      <c r="D1505" s="3" t="s">
        <v>29</v>
      </c>
      <c r="E1505" s="4">
        <v>7</v>
      </c>
      <c r="F1505" s="4">
        <v>816</v>
      </c>
      <c r="G1505" s="3" t="s">
        <v>16</v>
      </c>
      <c r="H1505">
        <v>5712</v>
      </c>
      <c r="I1505">
        <v>4668.199098</v>
      </c>
      <c r="J1505">
        <v>1043.800902</v>
      </c>
      <c r="K1505" s="5">
        <f>IF(Table1[[#This Row],[Revenue]]=0, 0, Table1[[#This Row],[Profit]]/Table1[[#This Row],[Revenue]])</f>
        <v>0.18273825315126049</v>
      </c>
    </row>
    <row r="1506" spans="1:11" x14ac:dyDescent="0.35">
      <c r="A1506" s="1">
        <v>45300</v>
      </c>
      <c r="B1506" s="3" t="s">
        <v>23</v>
      </c>
      <c r="C1506" s="3" t="s">
        <v>24</v>
      </c>
      <c r="D1506" s="3" t="s">
        <v>25</v>
      </c>
      <c r="E1506" s="4">
        <v>17</v>
      </c>
      <c r="F1506" s="4">
        <v>1693</v>
      </c>
      <c r="G1506" s="3" t="s">
        <v>19</v>
      </c>
      <c r="H1506">
        <v>28781</v>
      </c>
      <c r="I1506">
        <v>19601.130939999999</v>
      </c>
      <c r="J1506">
        <v>9179.8690630000001</v>
      </c>
      <c r="K1506" s="5">
        <f>IF(Table1[[#This Row],[Revenue]]=0, 0, Table1[[#This Row],[Profit]]/Table1[[#This Row],[Revenue]])</f>
        <v>0.3189558758555992</v>
      </c>
    </row>
    <row r="1507" spans="1:11" x14ac:dyDescent="0.35">
      <c r="A1507" s="1">
        <v>45390</v>
      </c>
      <c r="B1507" s="3" t="s">
        <v>10</v>
      </c>
      <c r="C1507" s="3" t="s">
        <v>14</v>
      </c>
      <c r="D1507" s="3" t="s">
        <v>30</v>
      </c>
      <c r="E1507" s="4">
        <v>16</v>
      </c>
      <c r="F1507" s="4">
        <v>1836</v>
      </c>
      <c r="G1507" s="3" t="s">
        <v>16</v>
      </c>
      <c r="H1507">
        <v>29376</v>
      </c>
      <c r="I1507">
        <v>22406.030289999999</v>
      </c>
      <c r="J1507">
        <v>6969.9697079999996</v>
      </c>
      <c r="K1507" s="5">
        <f>IF(Table1[[#This Row],[Revenue]]=0, 0, Table1[[#This Row],[Profit]]/Table1[[#This Row],[Revenue]])</f>
        <v>0.2372674873366013</v>
      </c>
    </row>
    <row r="1508" spans="1:11" x14ac:dyDescent="0.35">
      <c r="A1508" s="1">
        <v>45311</v>
      </c>
      <c r="B1508" s="3" t="s">
        <v>27</v>
      </c>
      <c r="C1508" s="3" t="s">
        <v>28</v>
      </c>
      <c r="D1508" s="3" t="s">
        <v>21</v>
      </c>
      <c r="E1508" s="4">
        <v>19</v>
      </c>
      <c r="F1508" s="4">
        <v>1860</v>
      </c>
      <c r="G1508" s="3" t="s">
        <v>16</v>
      </c>
      <c r="H1508">
        <v>35340</v>
      </c>
      <c r="I1508">
        <v>31723.724910000001</v>
      </c>
      <c r="J1508">
        <v>3616.2750850000002</v>
      </c>
      <c r="K1508" s="5">
        <f>IF(Table1[[#This Row],[Revenue]]=0, 0, Table1[[#This Row],[Profit]]/Table1[[#This Row],[Revenue]])</f>
        <v>0.10232810087719299</v>
      </c>
    </row>
    <row r="1509" spans="1:11" x14ac:dyDescent="0.35">
      <c r="A1509" s="1">
        <v>45532</v>
      </c>
      <c r="B1509" s="3" t="s">
        <v>23</v>
      </c>
      <c r="C1509" s="3" t="s">
        <v>43</v>
      </c>
      <c r="D1509" s="3" t="s">
        <v>32</v>
      </c>
      <c r="E1509" s="4">
        <v>9</v>
      </c>
      <c r="F1509" s="4">
        <v>241</v>
      </c>
      <c r="G1509" s="3" t="s">
        <v>16</v>
      </c>
      <c r="H1509">
        <v>2169</v>
      </c>
      <c r="I1509">
        <v>1858.4926390000001</v>
      </c>
      <c r="J1509">
        <v>310.50736069999999</v>
      </c>
      <c r="K1509" s="5">
        <f>IF(Table1[[#This Row],[Revenue]]=0, 0, Table1[[#This Row],[Profit]]/Table1[[#This Row],[Revenue]])</f>
        <v>0.14315692056247117</v>
      </c>
    </row>
    <row r="1510" spans="1:11" x14ac:dyDescent="0.35">
      <c r="A1510" s="1">
        <v>45352</v>
      </c>
      <c r="B1510" s="3" t="s">
        <v>23</v>
      </c>
      <c r="C1510" s="3" t="s">
        <v>11</v>
      </c>
      <c r="D1510" s="3" t="s">
        <v>21</v>
      </c>
      <c r="E1510" s="4">
        <v>14</v>
      </c>
      <c r="F1510" s="4">
        <v>992</v>
      </c>
      <c r="G1510" s="3" t="s">
        <v>13</v>
      </c>
      <c r="H1510">
        <v>13888</v>
      </c>
      <c r="I1510">
        <v>9601.0286300000007</v>
      </c>
      <c r="J1510">
        <v>4286.9713700000002</v>
      </c>
      <c r="K1510" s="5">
        <f>IF(Table1[[#This Row],[Revenue]]=0, 0, Table1[[#This Row],[Profit]]/Table1[[#This Row],[Revenue]])</f>
        <v>0.30868169426843317</v>
      </c>
    </row>
    <row r="1511" spans="1:11" x14ac:dyDescent="0.35">
      <c r="A1511" s="1">
        <v>45469</v>
      </c>
      <c r="B1511" s="3" t="s">
        <v>23</v>
      </c>
      <c r="C1511" s="3" t="s">
        <v>22</v>
      </c>
      <c r="D1511" s="3" t="s">
        <v>32</v>
      </c>
      <c r="E1511" s="4">
        <v>17</v>
      </c>
      <c r="F1511" s="4">
        <v>1491</v>
      </c>
      <c r="G1511" s="3" t="s">
        <v>13</v>
      </c>
      <c r="H1511">
        <v>25347</v>
      </c>
      <c r="I1511">
        <v>17497.382870000001</v>
      </c>
      <c r="J1511">
        <v>7849.6171329999997</v>
      </c>
      <c r="K1511" s="5">
        <f>IF(Table1[[#This Row],[Revenue]]=0, 0, Table1[[#This Row],[Profit]]/Table1[[#This Row],[Revenue]])</f>
        <v>0.30968624030457254</v>
      </c>
    </row>
    <row r="1512" spans="1:11" x14ac:dyDescent="0.35">
      <c r="A1512" s="1">
        <v>45629</v>
      </c>
      <c r="B1512" s="3" t="s">
        <v>37</v>
      </c>
      <c r="C1512" s="3" t="s">
        <v>24</v>
      </c>
      <c r="D1512" s="3" t="s">
        <v>21</v>
      </c>
      <c r="E1512" s="4">
        <v>5</v>
      </c>
      <c r="F1512" s="4">
        <v>1207</v>
      </c>
      <c r="G1512" s="3" t="s">
        <v>19</v>
      </c>
      <c r="H1512">
        <v>6035</v>
      </c>
      <c r="I1512">
        <v>4496.5166859999999</v>
      </c>
      <c r="J1512">
        <v>1538.4833140000001</v>
      </c>
      <c r="K1512" s="5">
        <f>IF(Table1[[#This Row],[Revenue]]=0, 0, Table1[[#This Row],[Profit]]/Table1[[#This Row],[Revenue]])</f>
        <v>0.25492681259320632</v>
      </c>
    </row>
    <row r="1513" spans="1:11" x14ac:dyDescent="0.35">
      <c r="A1513" s="1">
        <v>45353</v>
      </c>
      <c r="B1513" s="3" t="s">
        <v>23</v>
      </c>
      <c r="C1513" s="3" t="s">
        <v>17</v>
      </c>
      <c r="D1513" s="3" t="s">
        <v>15</v>
      </c>
      <c r="E1513" s="4">
        <v>2</v>
      </c>
      <c r="F1513" s="4">
        <v>1266</v>
      </c>
      <c r="G1513" s="3" t="s">
        <v>19</v>
      </c>
      <c r="H1513">
        <v>2532</v>
      </c>
      <c r="I1513">
        <v>1826.5331470000001</v>
      </c>
      <c r="J1513">
        <v>705.46685319999995</v>
      </c>
      <c r="K1513" s="5">
        <f>IF(Table1[[#This Row],[Revenue]]=0, 0, Table1[[#This Row],[Profit]]/Table1[[#This Row],[Revenue]])</f>
        <v>0.27862040015797784</v>
      </c>
    </row>
    <row r="1514" spans="1:11" x14ac:dyDescent="0.35">
      <c r="A1514" s="1">
        <v>45436</v>
      </c>
      <c r="B1514" s="3" t="s">
        <v>41</v>
      </c>
      <c r="C1514" s="3" t="s">
        <v>26</v>
      </c>
      <c r="D1514" s="3" t="s">
        <v>21</v>
      </c>
      <c r="E1514" s="4">
        <v>16</v>
      </c>
      <c r="F1514" s="4">
        <v>451</v>
      </c>
      <c r="G1514" s="3" t="s">
        <v>19</v>
      </c>
      <c r="H1514">
        <v>7216</v>
      </c>
      <c r="I1514">
        <v>5133.0721149999999</v>
      </c>
      <c r="J1514">
        <v>2082.9278850000001</v>
      </c>
      <c r="K1514" s="5">
        <f>IF(Table1[[#This Row],[Revenue]]=0, 0, Table1[[#This Row],[Profit]]/Table1[[#This Row],[Revenue]])</f>
        <v>0.28865408605875831</v>
      </c>
    </row>
    <row r="1515" spans="1:11" x14ac:dyDescent="0.35">
      <c r="A1515" s="1">
        <v>45507</v>
      </c>
      <c r="B1515" s="3" t="s">
        <v>20</v>
      </c>
      <c r="C1515" s="3" t="s">
        <v>17</v>
      </c>
      <c r="D1515" s="3" t="s">
        <v>15</v>
      </c>
      <c r="E1515" s="4">
        <v>14</v>
      </c>
      <c r="F1515" s="4">
        <v>644</v>
      </c>
      <c r="G1515" s="3" t="s">
        <v>19</v>
      </c>
      <c r="H1515">
        <v>9016</v>
      </c>
      <c r="I1515">
        <v>7105.4336190000004</v>
      </c>
      <c r="J1515">
        <v>1910.5663810000001</v>
      </c>
      <c r="K1515" s="5">
        <f>IF(Table1[[#This Row],[Revenue]]=0, 0, Table1[[#This Row],[Profit]]/Table1[[#This Row],[Revenue]])</f>
        <v>0.21190842735137536</v>
      </c>
    </row>
    <row r="1516" spans="1:11" x14ac:dyDescent="0.35">
      <c r="A1516" s="1">
        <v>45294</v>
      </c>
      <c r="B1516" s="3" t="s">
        <v>27</v>
      </c>
      <c r="C1516" s="3" t="s">
        <v>17</v>
      </c>
      <c r="D1516" s="3" t="s">
        <v>15</v>
      </c>
      <c r="E1516" s="4">
        <v>14</v>
      </c>
      <c r="F1516" s="4">
        <v>1012</v>
      </c>
      <c r="G1516" s="3" t="s">
        <v>19</v>
      </c>
      <c r="H1516">
        <v>14168</v>
      </c>
      <c r="I1516">
        <v>8549.6475929999997</v>
      </c>
      <c r="J1516">
        <v>5618.3524070000003</v>
      </c>
      <c r="K1516" s="5">
        <f>IF(Table1[[#This Row],[Revenue]]=0, 0, Table1[[#This Row],[Profit]]/Table1[[#This Row],[Revenue]])</f>
        <v>0.39655225910502545</v>
      </c>
    </row>
    <row r="1517" spans="1:11" x14ac:dyDescent="0.35">
      <c r="A1517" s="1">
        <v>45451</v>
      </c>
      <c r="B1517" s="3" t="s">
        <v>27</v>
      </c>
      <c r="C1517" s="3" t="s">
        <v>28</v>
      </c>
      <c r="D1517" s="3" t="s">
        <v>30</v>
      </c>
      <c r="E1517" s="4">
        <v>1</v>
      </c>
      <c r="F1517" s="4">
        <v>251</v>
      </c>
      <c r="G1517" s="3" t="s">
        <v>16</v>
      </c>
      <c r="H1517">
        <v>251</v>
      </c>
      <c r="I1517">
        <v>208.0794746</v>
      </c>
      <c r="J1517">
        <v>42.920525410000003</v>
      </c>
      <c r="K1517" s="5">
        <f>IF(Table1[[#This Row],[Revenue]]=0, 0, Table1[[#This Row],[Profit]]/Table1[[#This Row],[Revenue]])</f>
        <v>0.17099810920318725</v>
      </c>
    </row>
    <row r="1518" spans="1:11" x14ac:dyDescent="0.35">
      <c r="A1518" s="1">
        <v>45518</v>
      </c>
      <c r="B1518" s="3" t="s">
        <v>27</v>
      </c>
      <c r="C1518" s="3" t="s">
        <v>14</v>
      </c>
      <c r="D1518" s="3" t="s">
        <v>29</v>
      </c>
      <c r="E1518" s="4">
        <v>3</v>
      </c>
      <c r="F1518" s="4">
        <v>1281</v>
      </c>
      <c r="G1518" s="3" t="s">
        <v>16</v>
      </c>
      <c r="H1518">
        <v>3843</v>
      </c>
      <c r="I1518">
        <v>3159.0070999999998</v>
      </c>
      <c r="J1518">
        <v>683.99290010000004</v>
      </c>
      <c r="K1518" s="5">
        <f>IF(Table1[[#This Row],[Revenue]]=0, 0, Table1[[#This Row],[Profit]]/Table1[[#This Row],[Revenue]])</f>
        <v>0.17798410098881084</v>
      </c>
    </row>
    <row r="1519" spans="1:11" x14ac:dyDescent="0.35">
      <c r="A1519" s="1">
        <v>45560</v>
      </c>
      <c r="B1519" s="3" t="s">
        <v>20</v>
      </c>
      <c r="C1519" s="3" t="s">
        <v>26</v>
      </c>
      <c r="D1519" s="3" t="s">
        <v>32</v>
      </c>
      <c r="E1519" s="4">
        <v>7</v>
      </c>
      <c r="F1519" s="4">
        <v>1569</v>
      </c>
      <c r="G1519" s="3" t="s">
        <v>19</v>
      </c>
      <c r="H1519">
        <v>10983</v>
      </c>
      <c r="I1519">
        <v>9325.6400850000009</v>
      </c>
      <c r="J1519">
        <v>1657.359915</v>
      </c>
      <c r="K1519" s="5">
        <f>IF(Table1[[#This Row],[Revenue]]=0, 0, Table1[[#This Row],[Profit]]/Table1[[#This Row],[Revenue]])</f>
        <v>0.15090229582081399</v>
      </c>
    </row>
    <row r="1520" spans="1:11" x14ac:dyDescent="0.35">
      <c r="A1520" s="1">
        <v>45411</v>
      </c>
      <c r="B1520" s="3" t="s">
        <v>43</v>
      </c>
      <c r="C1520" s="3" t="s">
        <v>26</v>
      </c>
      <c r="D1520" s="3" t="s">
        <v>30</v>
      </c>
      <c r="E1520" s="4">
        <v>15</v>
      </c>
      <c r="F1520" s="4">
        <v>752</v>
      </c>
      <c r="G1520" s="3" t="s">
        <v>19</v>
      </c>
      <c r="H1520">
        <v>11280</v>
      </c>
      <c r="I1520">
        <v>9615.4690780000001</v>
      </c>
      <c r="J1520">
        <v>1664.5309219999999</v>
      </c>
      <c r="K1520" s="5">
        <f>IF(Table1[[#This Row],[Revenue]]=0, 0, Table1[[#This Row],[Profit]]/Table1[[#This Row],[Revenue]])</f>
        <v>0.1475647980496454</v>
      </c>
    </row>
    <row r="1521" spans="1:11" x14ac:dyDescent="0.35">
      <c r="A1521" s="1">
        <v>45380</v>
      </c>
      <c r="B1521" s="3" t="s">
        <v>20</v>
      </c>
      <c r="C1521" s="3" t="s">
        <v>11</v>
      </c>
      <c r="D1521" s="3" t="s">
        <v>30</v>
      </c>
      <c r="E1521" s="4">
        <v>19</v>
      </c>
      <c r="F1521" s="4">
        <v>1057</v>
      </c>
      <c r="G1521" s="3" t="s">
        <v>13</v>
      </c>
      <c r="H1521">
        <v>20083</v>
      </c>
      <c r="I1521">
        <v>15462.301520000001</v>
      </c>
      <c r="J1521">
        <v>4620.6984789999997</v>
      </c>
      <c r="K1521" s="5">
        <f>IF(Table1[[#This Row],[Revenue]]=0, 0, Table1[[#This Row],[Profit]]/Table1[[#This Row],[Revenue]])</f>
        <v>0.23008009156998455</v>
      </c>
    </row>
    <row r="1522" spans="1:11" x14ac:dyDescent="0.35">
      <c r="A1522" s="1">
        <v>45620</v>
      </c>
      <c r="B1522" s="3" t="s">
        <v>27</v>
      </c>
      <c r="C1522" s="3" t="s">
        <v>11</v>
      </c>
      <c r="D1522" s="3" t="s">
        <v>25</v>
      </c>
      <c r="E1522" s="4">
        <v>2</v>
      </c>
      <c r="F1522" s="4">
        <v>862</v>
      </c>
      <c r="G1522" s="3" t="s">
        <v>13</v>
      </c>
      <c r="H1522">
        <v>1724</v>
      </c>
      <c r="I1522">
        <v>1437.8542399999999</v>
      </c>
      <c r="J1522">
        <v>286.14576049999999</v>
      </c>
      <c r="K1522" s="5">
        <f>IF(Table1[[#This Row],[Revenue]]=0, 0, Table1[[#This Row],[Profit]]/Table1[[#This Row],[Revenue]])</f>
        <v>0.16597781931554523</v>
      </c>
    </row>
    <row r="1523" spans="1:11" x14ac:dyDescent="0.35">
      <c r="A1523" s="1">
        <v>45359</v>
      </c>
      <c r="B1523" s="3" t="s">
        <v>23</v>
      </c>
      <c r="C1523" s="3" t="s">
        <v>26</v>
      </c>
      <c r="D1523" s="3" t="s">
        <v>15</v>
      </c>
      <c r="E1523" s="4">
        <v>19</v>
      </c>
      <c r="F1523" s="4">
        <v>1426</v>
      </c>
      <c r="G1523" s="3" t="s">
        <v>19</v>
      </c>
      <c r="H1523">
        <v>27094</v>
      </c>
      <c r="I1523">
        <v>20258.68606</v>
      </c>
      <c r="J1523">
        <v>6835.3139410000003</v>
      </c>
      <c r="K1523" s="5">
        <f>IF(Table1[[#This Row],[Revenue]]=0, 0, Table1[[#This Row],[Profit]]/Table1[[#This Row],[Revenue]])</f>
        <v>0.25228146235328858</v>
      </c>
    </row>
    <row r="1524" spans="1:11" x14ac:dyDescent="0.35">
      <c r="A1524" s="1">
        <v>45648</v>
      </c>
      <c r="B1524" s="3" t="s">
        <v>23</v>
      </c>
      <c r="C1524" s="3" t="s">
        <v>24</v>
      </c>
      <c r="D1524" s="3" t="s">
        <v>15</v>
      </c>
      <c r="E1524" s="4">
        <v>9</v>
      </c>
      <c r="F1524" s="4">
        <v>723</v>
      </c>
      <c r="G1524" s="3" t="s">
        <v>19</v>
      </c>
      <c r="H1524">
        <v>6507</v>
      </c>
      <c r="I1524">
        <v>5761.6813940000002</v>
      </c>
      <c r="J1524">
        <v>745.31860630000006</v>
      </c>
      <c r="K1524" s="5">
        <f>IF(Table1[[#This Row],[Revenue]]=0, 0, Table1[[#This Row],[Profit]]/Table1[[#This Row],[Revenue]])</f>
        <v>0.11454104907023206</v>
      </c>
    </row>
    <row r="1525" spans="1:11" x14ac:dyDescent="0.35">
      <c r="A1525" s="1">
        <v>45389</v>
      </c>
      <c r="B1525" s="3" t="s">
        <v>27</v>
      </c>
      <c r="C1525" s="3" t="s">
        <v>31</v>
      </c>
      <c r="D1525" s="3" t="s">
        <v>32</v>
      </c>
      <c r="E1525" s="4">
        <v>19</v>
      </c>
      <c r="F1525" s="4">
        <v>755</v>
      </c>
      <c r="G1525" s="3" t="s">
        <v>19</v>
      </c>
      <c r="H1525">
        <v>14345</v>
      </c>
      <c r="I1525">
        <v>9427.6711230000001</v>
      </c>
      <c r="J1525">
        <v>4917.3288769999999</v>
      </c>
      <c r="K1525" s="5">
        <f>IF(Table1[[#This Row],[Revenue]]=0, 0, Table1[[#This Row],[Profit]]/Table1[[#This Row],[Revenue]])</f>
        <v>0.34279044105960266</v>
      </c>
    </row>
    <row r="1526" spans="1:11" x14ac:dyDescent="0.35">
      <c r="A1526" s="1">
        <v>45558</v>
      </c>
      <c r="B1526" s="3" t="s">
        <v>23</v>
      </c>
      <c r="C1526" s="3" t="s">
        <v>11</v>
      </c>
      <c r="D1526" s="3" t="s">
        <v>21</v>
      </c>
      <c r="E1526" s="4">
        <v>5</v>
      </c>
      <c r="F1526" s="4">
        <v>549</v>
      </c>
      <c r="G1526" s="3" t="s">
        <v>13</v>
      </c>
      <c r="H1526">
        <v>2745</v>
      </c>
      <c r="I1526">
        <v>2401.010675</v>
      </c>
      <c r="J1526">
        <v>343.9893247</v>
      </c>
      <c r="K1526" s="5">
        <f>IF(Table1[[#This Row],[Revenue]]=0, 0, Table1[[#This Row],[Profit]]/Table1[[#This Row],[Revenue]])</f>
        <v>0.12531487238615666</v>
      </c>
    </row>
    <row r="1527" spans="1:11" x14ac:dyDescent="0.35">
      <c r="A1527" s="1">
        <v>45396</v>
      </c>
      <c r="B1527" s="3" t="s">
        <v>27</v>
      </c>
      <c r="C1527" s="3" t="s">
        <v>31</v>
      </c>
      <c r="D1527" s="3" t="s">
        <v>21</v>
      </c>
      <c r="E1527" s="4">
        <v>18</v>
      </c>
      <c r="F1527" s="4">
        <v>820</v>
      </c>
      <c r="G1527" s="3" t="s">
        <v>19</v>
      </c>
      <c r="H1527">
        <v>14760</v>
      </c>
      <c r="I1527">
        <v>10000.772440000001</v>
      </c>
      <c r="J1527">
        <v>4759.2275600000003</v>
      </c>
      <c r="K1527" s="5">
        <f>IF(Table1[[#This Row],[Revenue]]=0, 0, Table1[[#This Row],[Profit]]/Table1[[#This Row],[Revenue]])</f>
        <v>0.32244089159891598</v>
      </c>
    </row>
    <row r="1528" spans="1:11" x14ac:dyDescent="0.35">
      <c r="A1528" s="1">
        <v>45614</v>
      </c>
      <c r="B1528" s="3" t="s">
        <v>23</v>
      </c>
      <c r="C1528" s="3" t="s">
        <v>28</v>
      </c>
      <c r="D1528" s="3" t="s">
        <v>12</v>
      </c>
      <c r="E1528" s="4">
        <v>16</v>
      </c>
      <c r="F1528" s="4">
        <v>1347</v>
      </c>
      <c r="G1528" s="3" t="s">
        <v>16</v>
      </c>
      <c r="H1528">
        <v>21552</v>
      </c>
      <c r="I1528">
        <v>13595.36824</v>
      </c>
      <c r="J1528">
        <v>7956.6317550000003</v>
      </c>
      <c r="K1528" s="5">
        <f>IF(Table1[[#This Row],[Revenue]]=0, 0, Table1[[#This Row],[Profit]]/Table1[[#This Row],[Revenue]])</f>
        <v>0.36918298788975501</v>
      </c>
    </row>
    <row r="1529" spans="1:11" x14ac:dyDescent="0.35">
      <c r="A1529" s="1">
        <v>45414</v>
      </c>
      <c r="B1529" s="3" t="s">
        <v>43</v>
      </c>
      <c r="C1529" s="3" t="s">
        <v>24</v>
      </c>
      <c r="D1529" s="3" t="s">
        <v>30</v>
      </c>
      <c r="E1529" s="4">
        <v>4</v>
      </c>
      <c r="F1529" s="4">
        <v>142</v>
      </c>
      <c r="G1529" s="3" t="s">
        <v>19</v>
      </c>
      <c r="H1529">
        <v>568</v>
      </c>
      <c r="I1529">
        <v>415.62339780000002</v>
      </c>
      <c r="J1529">
        <v>152.37660220000001</v>
      </c>
      <c r="K1529" s="5">
        <f>IF(Table1[[#This Row],[Revenue]]=0, 0, Table1[[#This Row],[Profit]]/Table1[[#This Row],[Revenue]])</f>
        <v>0.26826866584507042</v>
      </c>
    </row>
    <row r="1530" spans="1:11" x14ac:dyDescent="0.35">
      <c r="A1530" s="1">
        <v>45320</v>
      </c>
      <c r="B1530" s="3" t="s">
        <v>10</v>
      </c>
      <c r="C1530" s="3" t="s">
        <v>26</v>
      </c>
      <c r="D1530" s="3" t="s">
        <v>12</v>
      </c>
      <c r="E1530" s="4">
        <v>12</v>
      </c>
      <c r="F1530" s="4">
        <v>363</v>
      </c>
      <c r="G1530" s="3" t="s">
        <v>19</v>
      </c>
      <c r="H1530">
        <v>4356</v>
      </c>
      <c r="I1530">
        <v>3417.1738519999999</v>
      </c>
      <c r="J1530">
        <v>938.82614760000001</v>
      </c>
      <c r="K1530" s="5">
        <f>IF(Table1[[#This Row],[Revenue]]=0, 0, Table1[[#This Row],[Profit]]/Table1[[#This Row],[Revenue]])</f>
        <v>0.21552482727272729</v>
      </c>
    </row>
    <row r="1531" spans="1:11" x14ac:dyDescent="0.35">
      <c r="A1531" s="1">
        <v>45428</v>
      </c>
      <c r="B1531" s="3" t="s">
        <v>10</v>
      </c>
      <c r="C1531" s="3" t="s">
        <v>24</v>
      </c>
      <c r="D1531" s="3" t="s">
        <v>18</v>
      </c>
      <c r="E1531" s="4">
        <v>7</v>
      </c>
      <c r="F1531" s="4">
        <v>1879</v>
      </c>
      <c r="G1531" s="3" t="s">
        <v>19</v>
      </c>
      <c r="H1531">
        <v>13153</v>
      </c>
      <c r="I1531">
        <v>8803.2629410000009</v>
      </c>
      <c r="J1531">
        <v>4349.737059</v>
      </c>
      <c r="K1531" s="5">
        <f>IF(Table1[[#This Row],[Revenue]]=0, 0, Table1[[#This Row],[Profit]]/Table1[[#This Row],[Revenue]])</f>
        <v>0.33070303801414125</v>
      </c>
    </row>
    <row r="1532" spans="1:11" x14ac:dyDescent="0.35">
      <c r="A1532" s="1">
        <v>45486</v>
      </c>
      <c r="B1532" s="3" t="s">
        <v>20</v>
      </c>
      <c r="C1532" s="3" t="s">
        <v>11</v>
      </c>
      <c r="D1532" s="3" t="s">
        <v>18</v>
      </c>
      <c r="E1532" s="4">
        <v>14</v>
      </c>
      <c r="F1532" s="4">
        <v>1126</v>
      </c>
      <c r="G1532" s="3" t="s">
        <v>13</v>
      </c>
      <c r="H1532">
        <v>15764</v>
      </c>
      <c r="I1532">
        <v>12086.871580000001</v>
      </c>
      <c r="J1532">
        <v>3677.128416</v>
      </c>
      <c r="K1532" s="5">
        <f>IF(Table1[[#This Row],[Revenue]]=0, 0, Table1[[#This Row],[Profit]]/Table1[[#This Row],[Revenue]])</f>
        <v>0.23326112763258056</v>
      </c>
    </row>
    <row r="1533" spans="1:11" x14ac:dyDescent="0.35">
      <c r="A1533" s="1">
        <v>45517</v>
      </c>
      <c r="B1533" s="3" t="s">
        <v>20</v>
      </c>
      <c r="C1533" s="3" t="s">
        <v>17</v>
      </c>
      <c r="D1533" s="3" t="s">
        <v>12</v>
      </c>
      <c r="E1533" s="4">
        <v>12</v>
      </c>
      <c r="F1533" s="4">
        <v>1760</v>
      </c>
      <c r="G1533" s="3" t="s">
        <v>19</v>
      </c>
      <c r="H1533">
        <v>21120</v>
      </c>
      <c r="I1533">
        <v>17790.812310000001</v>
      </c>
      <c r="J1533">
        <v>3329.1876900000002</v>
      </c>
      <c r="K1533" s="5">
        <f>IF(Table1[[#This Row],[Revenue]]=0, 0, Table1[[#This Row],[Profit]]/Table1[[#This Row],[Revenue]])</f>
        <v>0.15763199289772728</v>
      </c>
    </row>
    <row r="1534" spans="1:11" x14ac:dyDescent="0.35">
      <c r="A1534" s="1">
        <v>45623</v>
      </c>
      <c r="B1534" s="3" t="s">
        <v>27</v>
      </c>
      <c r="C1534" s="3" t="s">
        <v>28</v>
      </c>
      <c r="D1534" s="3" t="s">
        <v>21</v>
      </c>
      <c r="E1534" s="4">
        <v>3</v>
      </c>
      <c r="F1534" s="4">
        <v>1391</v>
      </c>
      <c r="G1534" s="3" t="s">
        <v>16</v>
      </c>
      <c r="H1534">
        <v>4173</v>
      </c>
      <c r="I1534">
        <v>2825.6446689999998</v>
      </c>
      <c r="J1534">
        <v>1347.355331</v>
      </c>
      <c r="K1534" s="5">
        <f>IF(Table1[[#This Row],[Revenue]]=0, 0, Table1[[#This Row],[Profit]]/Table1[[#This Row],[Revenue]])</f>
        <v>0.32287451018451951</v>
      </c>
    </row>
    <row r="1535" spans="1:11" x14ac:dyDescent="0.35">
      <c r="A1535" s="1">
        <v>45461</v>
      </c>
      <c r="B1535" s="3" t="s">
        <v>27</v>
      </c>
      <c r="C1535" s="3" t="s">
        <v>26</v>
      </c>
      <c r="D1535" s="3" t="s">
        <v>18</v>
      </c>
      <c r="E1535" s="4">
        <v>5</v>
      </c>
      <c r="F1535" s="4">
        <v>695</v>
      </c>
      <c r="G1535" s="3" t="s">
        <v>19</v>
      </c>
      <c r="H1535">
        <v>3475</v>
      </c>
      <c r="I1535">
        <v>2689.9859409999999</v>
      </c>
      <c r="J1535">
        <v>785.0140586</v>
      </c>
      <c r="K1535" s="5">
        <f>IF(Table1[[#This Row],[Revenue]]=0, 0, Table1[[#This Row],[Profit]]/Table1[[#This Row],[Revenue]])</f>
        <v>0.22590332621582734</v>
      </c>
    </row>
    <row r="1536" spans="1:11" x14ac:dyDescent="0.35">
      <c r="A1536" s="1">
        <v>45300</v>
      </c>
      <c r="B1536" s="3" t="s">
        <v>27</v>
      </c>
      <c r="C1536" s="3" t="s">
        <v>22</v>
      </c>
      <c r="D1536" s="3" t="s">
        <v>25</v>
      </c>
      <c r="E1536" s="4">
        <v>17</v>
      </c>
      <c r="F1536" s="4">
        <v>1139</v>
      </c>
      <c r="G1536" s="3" t="s">
        <v>13</v>
      </c>
      <c r="H1536">
        <v>19363</v>
      </c>
      <c r="I1536">
        <v>13588.83294</v>
      </c>
      <c r="J1536">
        <v>5774.1670599999998</v>
      </c>
      <c r="K1536" s="5">
        <f>IF(Table1[[#This Row],[Revenue]]=0, 0, Table1[[#This Row],[Profit]]/Table1[[#This Row],[Revenue]])</f>
        <v>0.29820622114341783</v>
      </c>
    </row>
    <row r="1537" spans="1:11" x14ac:dyDescent="0.35">
      <c r="A1537" s="1">
        <v>45331</v>
      </c>
      <c r="B1537" s="3" t="s">
        <v>23</v>
      </c>
      <c r="C1537" s="3" t="s">
        <v>28</v>
      </c>
      <c r="D1537" s="3" t="s">
        <v>21</v>
      </c>
      <c r="E1537" s="4">
        <v>10</v>
      </c>
      <c r="F1537" s="4">
        <v>1457</v>
      </c>
      <c r="G1537" s="3" t="s">
        <v>16</v>
      </c>
      <c r="H1537">
        <v>14570</v>
      </c>
      <c r="I1537">
        <v>11057.617969999999</v>
      </c>
      <c r="J1537">
        <v>3512.382028</v>
      </c>
      <c r="K1537" s="5">
        <f>IF(Table1[[#This Row],[Revenue]]=0, 0, Table1[[#This Row],[Profit]]/Table1[[#This Row],[Revenue]])</f>
        <v>0.24106945971173643</v>
      </c>
    </row>
    <row r="1538" spans="1:11" x14ac:dyDescent="0.35">
      <c r="A1538" s="1">
        <v>45316</v>
      </c>
      <c r="B1538" s="3" t="s">
        <v>27</v>
      </c>
      <c r="C1538" s="3" t="s">
        <v>14</v>
      </c>
      <c r="D1538" s="3" t="s">
        <v>15</v>
      </c>
      <c r="E1538" s="4">
        <v>10</v>
      </c>
      <c r="F1538" s="4">
        <v>1587</v>
      </c>
      <c r="G1538" s="3" t="s">
        <v>16</v>
      </c>
      <c r="H1538">
        <v>15870</v>
      </c>
      <c r="I1538">
        <v>12697.20145</v>
      </c>
      <c r="J1538">
        <v>3172.7985480000002</v>
      </c>
      <c r="K1538" s="5">
        <f>IF(Table1[[#This Row],[Revenue]]=0, 0, Table1[[#This Row],[Profit]]/Table1[[#This Row],[Revenue]])</f>
        <v>0.1999242941398866</v>
      </c>
    </row>
    <row r="1539" spans="1:11" x14ac:dyDescent="0.35">
      <c r="A1539" s="1">
        <v>45552</v>
      </c>
      <c r="B1539" s="3" t="s">
        <v>20</v>
      </c>
      <c r="C1539" s="3" t="s">
        <v>31</v>
      </c>
      <c r="D1539" s="3" t="s">
        <v>30</v>
      </c>
      <c r="E1539" s="4">
        <v>11</v>
      </c>
      <c r="F1539" s="4">
        <v>1182</v>
      </c>
      <c r="G1539" s="3" t="s">
        <v>19</v>
      </c>
      <c r="H1539">
        <v>13002</v>
      </c>
      <c r="I1539">
        <v>9168.0582840000006</v>
      </c>
      <c r="J1539">
        <v>3833.9417159999998</v>
      </c>
      <c r="K1539" s="5">
        <f>IF(Table1[[#This Row],[Revenue]]=0, 0, Table1[[#This Row],[Profit]]/Table1[[#This Row],[Revenue]])</f>
        <v>0.29487322842639591</v>
      </c>
    </row>
    <row r="1540" spans="1:11" x14ac:dyDescent="0.35">
      <c r="A1540" s="1">
        <v>45517</v>
      </c>
      <c r="B1540" s="3" t="s">
        <v>10</v>
      </c>
      <c r="C1540" s="3" t="s">
        <v>24</v>
      </c>
      <c r="D1540" s="3" t="s">
        <v>29</v>
      </c>
      <c r="E1540" s="4">
        <v>17</v>
      </c>
      <c r="F1540" s="4">
        <v>1112</v>
      </c>
      <c r="G1540" s="3" t="s">
        <v>19</v>
      </c>
      <c r="H1540">
        <v>18904</v>
      </c>
      <c r="I1540">
        <v>16982.311320000001</v>
      </c>
      <c r="J1540">
        <v>1921.6886770000001</v>
      </c>
      <c r="K1540" s="5">
        <f>IF(Table1[[#This Row],[Revenue]]=0, 0, Table1[[#This Row],[Profit]]/Table1[[#This Row],[Revenue]])</f>
        <v>0.10165513526237833</v>
      </c>
    </row>
    <row r="1541" spans="1:11" x14ac:dyDescent="0.35">
      <c r="A1541" s="1">
        <v>45415</v>
      </c>
      <c r="B1541" s="3" t="s">
        <v>23</v>
      </c>
      <c r="C1541" s="3" t="s">
        <v>26</v>
      </c>
      <c r="D1541" s="3" t="s">
        <v>30</v>
      </c>
      <c r="E1541" s="4">
        <v>5</v>
      </c>
      <c r="F1541" s="4">
        <v>276</v>
      </c>
      <c r="G1541" s="3" t="s">
        <v>19</v>
      </c>
      <c r="H1541">
        <v>1380</v>
      </c>
      <c r="I1541">
        <v>1061.402932</v>
      </c>
      <c r="J1541">
        <v>318.59706790000001</v>
      </c>
      <c r="K1541" s="5">
        <f>IF(Table1[[#This Row],[Revenue]]=0, 0, Table1[[#This Row],[Profit]]/Table1[[#This Row],[Revenue]])</f>
        <v>0.23086744050724639</v>
      </c>
    </row>
    <row r="1542" spans="1:11" x14ac:dyDescent="0.35">
      <c r="A1542" s="1">
        <v>45329</v>
      </c>
      <c r="B1542" s="3" t="s">
        <v>27</v>
      </c>
      <c r="C1542" s="3" t="s">
        <v>28</v>
      </c>
      <c r="D1542" s="3" t="s">
        <v>12</v>
      </c>
      <c r="E1542" s="4">
        <v>13</v>
      </c>
      <c r="F1542" s="4">
        <v>162</v>
      </c>
      <c r="G1542" s="3" t="s">
        <v>16</v>
      </c>
      <c r="H1542">
        <v>2106</v>
      </c>
      <c r="I1542">
        <v>1784.494813</v>
      </c>
      <c r="J1542">
        <v>321.50518699999998</v>
      </c>
      <c r="K1542" s="5">
        <f>IF(Table1[[#This Row],[Revenue]]=0, 0, Table1[[#This Row],[Profit]]/Table1[[#This Row],[Revenue]])</f>
        <v>0.15266153228869894</v>
      </c>
    </row>
    <row r="1543" spans="1:11" x14ac:dyDescent="0.35">
      <c r="A1543" s="1">
        <v>45619</v>
      </c>
      <c r="B1543" s="3" t="s">
        <v>41</v>
      </c>
      <c r="C1543" s="3" t="s">
        <v>24</v>
      </c>
      <c r="D1543" s="3" t="s">
        <v>21</v>
      </c>
      <c r="E1543" s="4">
        <v>10</v>
      </c>
      <c r="F1543" s="4">
        <v>1057</v>
      </c>
      <c r="G1543" s="3" t="s">
        <v>19</v>
      </c>
      <c r="H1543">
        <v>10570</v>
      </c>
      <c r="I1543">
        <v>8641.4037919999992</v>
      </c>
      <c r="J1543">
        <v>1928.5962079999999</v>
      </c>
      <c r="K1543" s="5">
        <f>IF(Table1[[#This Row],[Revenue]]=0, 0, Table1[[#This Row],[Profit]]/Table1[[#This Row],[Revenue]])</f>
        <v>0.18245943311258278</v>
      </c>
    </row>
    <row r="1544" spans="1:11" x14ac:dyDescent="0.35">
      <c r="A1544" s="1">
        <v>45542</v>
      </c>
      <c r="B1544" s="3" t="s">
        <v>43</v>
      </c>
      <c r="C1544" s="3" t="s">
        <v>26</v>
      </c>
      <c r="D1544" s="3" t="s">
        <v>12</v>
      </c>
      <c r="E1544" s="4">
        <v>9</v>
      </c>
      <c r="F1544" s="4">
        <v>1102</v>
      </c>
      <c r="G1544" s="3" t="s">
        <v>19</v>
      </c>
      <c r="H1544">
        <v>9918</v>
      </c>
      <c r="I1544">
        <v>8488.2369299999991</v>
      </c>
      <c r="J1544">
        <v>1429.76307</v>
      </c>
      <c r="K1544" s="5">
        <f>IF(Table1[[#This Row],[Revenue]]=0, 0, Table1[[#This Row],[Profit]]/Table1[[#This Row],[Revenue]])</f>
        <v>0.14415840592861465</v>
      </c>
    </row>
    <row r="1545" spans="1:11" x14ac:dyDescent="0.35">
      <c r="A1545" s="1">
        <v>45467</v>
      </c>
      <c r="B1545" s="3" t="s">
        <v>27</v>
      </c>
      <c r="C1545" s="3" t="s">
        <v>43</v>
      </c>
      <c r="D1545" s="3" t="s">
        <v>25</v>
      </c>
      <c r="E1545" s="4">
        <v>17</v>
      </c>
      <c r="F1545" s="4">
        <v>660</v>
      </c>
      <c r="G1545" s="3" t="s">
        <v>13</v>
      </c>
      <c r="H1545">
        <v>11220</v>
      </c>
      <c r="I1545">
        <v>7317.014013</v>
      </c>
      <c r="J1545">
        <v>3902.985987</v>
      </c>
      <c r="K1545" s="5">
        <f>IF(Table1[[#This Row],[Revenue]]=0, 0, Table1[[#This Row],[Profit]]/Table1[[#This Row],[Revenue]])</f>
        <v>0.34785971363636364</v>
      </c>
    </row>
    <row r="1546" spans="1:11" x14ac:dyDescent="0.35">
      <c r="A1546" s="1">
        <v>45381</v>
      </c>
      <c r="B1546" s="3" t="s">
        <v>23</v>
      </c>
      <c r="C1546" s="3" t="s">
        <v>28</v>
      </c>
      <c r="D1546" s="3" t="s">
        <v>21</v>
      </c>
      <c r="E1546" s="4">
        <v>1</v>
      </c>
      <c r="F1546" s="4">
        <v>1430</v>
      </c>
      <c r="G1546" s="3" t="s">
        <v>16</v>
      </c>
      <c r="H1546">
        <v>1430</v>
      </c>
      <c r="I1546">
        <v>953.47554149999996</v>
      </c>
      <c r="J1546">
        <v>476.52445849999998</v>
      </c>
      <c r="K1546" s="5">
        <f>IF(Table1[[#This Row],[Revenue]]=0, 0, Table1[[#This Row],[Profit]]/Table1[[#This Row],[Revenue]])</f>
        <v>0.33323388706293705</v>
      </c>
    </row>
    <row r="1547" spans="1:11" x14ac:dyDescent="0.35">
      <c r="A1547" s="1">
        <v>45328</v>
      </c>
      <c r="B1547" s="3" t="s">
        <v>10</v>
      </c>
      <c r="C1547" s="3" t="s">
        <v>11</v>
      </c>
      <c r="D1547" s="3" t="s">
        <v>30</v>
      </c>
      <c r="E1547" s="4">
        <v>4</v>
      </c>
      <c r="F1547" s="4">
        <v>1369</v>
      </c>
      <c r="G1547" s="3" t="s">
        <v>13</v>
      </c>
      <c r="H1547">
        <v>5476</v>
      </c>
      <c r="I1547">
        <v>4086.3190829999999</v>
      </c>
      <c r="J1547">
        <v>1389.6809169999999</v>
      </c>
      <c r="K1547" s="5">
        <f>IF(Table1[[#This Row],[Revenue]]=0, 0, Table1[[#This Row],[Profit]]/Table1[[#This Row],[Revenue]])</f>
        <v>0.25377664663988309</v>
      </c>
    </row>
    <row r="1548" spans="1:11" x14ac:dyDescent="0.35">
      <c r="A1548" s="1">
        <v>45607</v>
      </c>
      <c r="B1548" s="3" t="s">
        <v>20</v>
      </c>
      <c r="C1548" s="3" t="s">
        <v>28</v>
      </c>
      <c r="D1548" s="3" t="s">
        <v>25</v>
      </c>
      <c r="E1548" s="4">
        <v>4</v>
      </c>
      <c r="F1548" s="4">
        <v>1412</v>
      </c>
      <c r="G1548" s="3" t="s">
        <v>16</v>
      </c>
      <c r="H1548">
        <v>5648</v>
      </c>
      <c r="I1548">
        <v>4832.9857089999996</v>
      </c>
      <c r="J1548">
        <v>815.01429059999998</v>
      </c>
      <c r="K1548" s="5">
        <f>IF(Table1[[#This Row],[Revenue]]=0, 0, Table1[[#This Row],[Profit]]/Table1[[#This Row],[Revenue]])</f>
        <v>0.1443013970609065</v>
      </c>
    </row>
    <row r="1549" spans="1:11" x14ac:dyDescent="0.35">
      <c r="A1549" s="1">
        <v>45467</v>
      </c>
      <c r="B1549" s="3" t="s">
        <v>20</v>
      </c>
      <c r="C1549" s="3" t="s">
        <v>11</v>
      </c>
      <c r="D1549" s="3" t="s">
        <v>25</v>
      </c>
      <c r="E1549" s="4">
        <v>18</v>
      </c>
      <c r="F1549" s="4">
        <v>1921</v>
      </c>
      <c r="G1549" s="3" t="s">
        <v>13</v>
      </c>
      <c r="H1549">
        <v>34578</v>
      </c>
      <c r="I1549">
        <v>22796.652109999999</v>
      </c>
      <c r="J1549">
        <v>11781.347889999999</v>
      </c>
      <c r="K1549" s="5">
        <f>IF(Table1[[#This Row],[Revenue]]=0, 0, Table1[[#This Row],[Profit]]/Table1[[#This Row],[Revenue]])</f>
        <v>0.34071802562322862</v>
      </c>
    </row>
    <row r="1550" spans="1:11" x14ac:dyDescent="0.35">
      <c r="A1550" s="1">
        <v>45372</v>
      </c>
      <c r="B1550" s="3" t="s">
        <v>23</v>
      </c>
      <c r="C1550" s="3" t="s">
        <v>24</v>
      </c>
      <c r="D1550" s="3" t="s">
        <v>32</v>
      </c>
      <c r="E1550" s="4">
        <v>18</v>
      </c>
      <c r="F1550" s="4">
        <v>1455</v>
      </c>
      <c r="G1550" s="3" t="s">
        <v>19</v>
      </c>
      <c r="H1550">
        <v>26190</v>
      </c>
      <c r="I1550">
        <v>16716.571339999999</v>
      </c>
      <c r="J1550">
        <v>9473.4286639999991</v>
      </c>
      <c r="K1550" s="5">
        <f>IF(Table1[[#This Row],[Revenue]]=0, 0, Table1[[#This Row],[Profit]]/Table1[[#This Row],[Revenue]])</f>
        <v>0.36171930752195491</v>
      </c>
    </row>
    <row r="1551" spans="1:11" x14ac:dyDescent="0.35">
      <c r="A1551" s="1">
        <v>45405</v>
      </c>
      <c r="B1551" s="3" t="s">
        <v>27</v>
      </c>
      <c r="C1551" s="3" t="s">
        <v>22</v>
      </c>
      <c r="D1551" s="3" t="s">
        <v>21</v>
      </c>
      <c r="E1551" s="4">
        <v>14</v>
      </c>
      <c r="F1551" s="4">
        <v>1650</v>
      </c>
      <c r="G1551" s="3" t="s">
        <v>13</v>
      </c>
      <c r="H1551">
        <v>23100</v>
      </c>
      <c r="I1551">
        <v>15073.29016</v>
      </c>
      <c r="J1551">
        <v>8026.7098400000004</v>
      </c>
      <c r="K1551" s="5">
        <f>IF(Table1[[#This Row],[Revenue]]=0, 0, Table1[[#This Row],[Profit]]/Table1[[#This Row],[Revenue]])</f>
        <v>0.34747661645021649</v>
      </c>
    </row>
    <row r="1552" spans="1:11" x14ac:dyDescent="0.35">
      <c r="A1552" s="1">
        <v>45331</v>
      </c>
      <c r="B1552" s="3" t="s">
        <v>23</v>
      </c>
      <c r="C1552" s="3" t="s">
        <v>28</v>
      </c>
      <c r="D1552" s="3" t="s">
        <v>18</v>
      </c>
      <c r="E1552" s="4">
        <v>15</v>
      </c>
      <c r="F1552" s="4">
        <v>949</v>
      </c>
      <c r="G1552" s="3" t="s">
        <v>16</v>
      </c>
      <c r="H1552">
        <v>14235</v>
      </c>
      <c r="I1552">
        <v>9255.1718720000008</v>
      </c>
      <c r="J1552">
        <v>4979.8281280000001</v>
      </c>
      <c r="K1552" s="5">
        <f>IF(Table1[[#This Row],[Revenue]]=0, 0, Table1[[#This Row],[Profit]]/Table1[[#This Row],[Revenue]])</f>
        <v>0.34982986498068142</v>
      </c>
    </row>
    <row r="1553" spans="1:11" x14ac:dyDescent="0.35">
      <c r="A1553" s="1">
        <v>45515</v>
      </c>
      <c r="B1553" s="3" t="s">
        <v>23</v>
      </c>
      <c r="C1553" s="3" t="s">
        <v>28</v>
      </c>
      <c r="D1553" s="3" t="s">
        <v>21</v>
      </c>
      <c r="E1553" s="4">
        <v>10</v>
      </c>
      <c r="F1553" s="4">
        <v>703</v>
      </c>
      <c r="G1553" s="3" t="s">
        <v>16</v>
      </c>
      <c r="H1553">
        <v>7030</v>
      </c>
      <c r="I1553">
        <v>6153.0941409999996</v>
      </c>
      <c r="J1553">
        <v>876.9058589</v>
      </c>
      <c r="K1553" s="5">
        <f>IF(Table1[[#This Row],[Revenue]]=0, 0, Table1[[#This Row],[Profit]]/Table1[[#This Row],[Revenue]])</f>
        <v>0.12473767551920341</v>
      </c>
    </row>
    <row r="1554" spans="1:11" x14ac:dyDescent="0.35">
      <c r="A1554" s="1">
        <v>45609</v>
      </c>
      <c r="B1554" s="3" t="s">
        <v>20</v>
      </c>
      <c r="C1554" s="3" t="s">
        <v>11</v>
      </c>
      <c r="D1554" s="3" t="s">
        <v>21</v>
      </c>
      <c r="E1554" s="4">
        <v>15</v>
      </c>
      <c r="F1554" s="4">
        <v>1633</v>
      </c>
      <c r="G1554" s="3" t="s">
        <v>13</v>
      </c>
      <c r="H1554">
        <v>24495</v>
      </c>
      <c r="I1554">
        <v>16571.686030000001</v>
      </c>
      <c r="J1554">
        <v>7923.3139709999996</v>
      </c>
      <c r="K1554" s="5">
        <f>IF(Table1[[#This Row],[Revenue]]=0, 0, Table1[[#This Row],[Profit]]/Table1[[#This Row],[Revenue]])</f>
        <v>0.32346658383343535</v>
      </c>
    </row>
    <row r="1555" spans="1:11" x14ac:dyDescent="0.35">
      <c r="A1555" s="1">
        <v>45640</v>
      </c>
      <c r="B1555" s="3" t="s">
        <v>23</v>
      </c>
      <c r="C1555" s="3" t="s">
        <v>26</v>
      </c>
      <c r="D1555" s="3" t="s">
        <v>32</v>
      </c>
      <c r="E1555" s="4">
        <v>4</v>
      </c>
      <c r="F1555" s="4">
        <v>1914</v>
      </c>
      <c r="G1555" s="3" t="s">
        <v>19</v>
      </c>
      <c r="H1555">
        <v>7656</v>
      </c>
      <c r="I1555">
        <v>5863.8150450000003</v>
      </c>
      <c r="J1555">
        <v>1792.1849549999999</v>
      </c>
      <c r="K1555" s="5">
        <f>IF(Table1[[#This Row],[Revenue]]=0, 0, Table1[[#This Row],[Profit]]/Table1[[#This Row],[Revenue]])</f>
        <v>0.23408894396551724</v>
      </c>
    </row>
    <row r="1556" spans="1:11" x14ac:dyDescent="0.35">
      <c r="A1556" s="1">
        <v>45406</v>
      </c>
      <c r="B1556" s="3" t="s">
        <v>10</v>
      </c>
      <c r="C1556" s="3" t="s">
        <v>28</v>
      </c>
      <c r="D1556" s="3" t="s">
        <v>18</v>
      </c>
      <c r="E1556" s="4">
        <v>18</v>
      </c>
      <c r="F1556" s="4">
        <v>1841</v>
      </c>
      <c r="G1556" s="3" t="s">
        <v>16</v>
      </c>
      <c r="H1556">
        <v>33138</v>
      </c>
      <c r="I1556">
        <v>21630.224829999999</v>
      </c>
      <c r="J1556">
        <v>11507.775170000001</v>
      </c>
      <c r="K1556" s="5">
        <f>IF(Table1[[#This Row],[Revenue]]=0, 0, Table1[[#This Row],[Profit]]/Table1[[#This Row],[Revenue]])</f>
        <v>0.34726824702758163</v>
      </c>
    </row>
    <row r="1557" spans="1:11" x14ac:dyDescent="0.35">
      <c r="A1557" s="1">
        <v>45477</v>
      </c>
      <c r="B1557" s="3" t="s">
        <v>20</v>
      </c>
      <c r="C1557" s="3" t="s">
        <v>14</v>
      </c>
      <c r="D1557" s="3" t="s">
        <v>21</v>
      </c>
      <c r="E1557" s="4">
        <v>18</v>
      </c>
      <c r="F1557" s="4">
        <v>705</v>
      </c>
      <c r="G1557" s="3" t="s">
        <v>16</v>
      </c>
      <c r="H1557">
        <v>12690</v>
      </c>
      <c r="I1557">
        <v>10016.738160000001</v>
      </c>
      <c r="J1557">
        <v>2673.2618360000001</v>
      </c>
      <c r="K1557" s="5">
        <f>IF(Table1[[#This Row],[Revenue]]=0, 0, Table1[[#This Row],[Profit]]/Table1[[#This Row],[Revenue]])</f>
        <v>0.21065893112687156</v>
      </c>
    </row>
    <row r="1558" spans="1:11" x14ac:dyDescent="0.35">
      <c r="A1558" s="1">
        <v>45614</v>
      </c>
      <c r="B1558" s="3" t="s">
        <v>23</v>
      </c>
      <c r="C1558" s="3" t="s">
        <v>11</v>
      </c>
      <c r="D1558" s="3" t="s">
        <v>21</v>
      </c>
      <c r="E1558" s="4">
        <v>17</v>
      </c>
      <c r="F1558" s="4">
        <v>1860</v>
      </c>
      <c r="G1558" s="3" t="s">
        <v>13</v>
      </c>
      <c r="H1558">
        <v>31620</v>
      </c>
      <c r="I1558">
        <v>20141.114740000001</v>
      </c>
      <c r="J1558">
        <v>11478.885259999999</v>
      </c>
      <c r="K1558" s="5">
        <f>IF(Table1[[#This Row],[Revenue]]=0, 0, Table1[[#This Row],[Profit]]/Table1[[#This Row],[Revenue]])</f>
        <v>0.36302609930423779</v>
      </c>
    </row>
    <row r="1559" spans="1:11" x14ac:dyDescent="0.35">
      <c r="A1559" s="1">
        <v>45347</v>
      </c>
      <c r="B1559" s="3" t="s">
        <v>23</v>
      </c>
      <c r="C1559" s="3" t="s">
        <v>17</v>
      </c>
      <c r="D1559" s="3" t="s">
        <v>12</v>
      </c>
      <c r="E1559" s="4">
        <v>12</v>
      </c>
      <c r="F1559" s="4">
        <v>1936</v>
      </c>
      <c r="G1559" s="3" t="s">
        <v>19</v>
      </c>
      <c r="H1559">
        <v>23232</v>
      </c>
      <c r="I1559">
        <v>17363.43953</v>
      </c>
      <c r="J1559">
        <v>5868.5604750000002</v>
      </c>
      <c r="K1559" s="5">
        <f>IF(Table1[[#This Row],[Revenue]]=0, 0, Table1[[#This Row],[Profit]]/Table1[[#This Row],[Revenue]])</f>
        <v>0.2526067697572314</v>
      </c>
    </row>
    <row r="1560" spans="1:11" x14ac:dyDescent="0.35">
      <c r="A1560" s="1">
        <v>45331</v>
      </c>
      <c r="B1560" s="3" t="s">
        <v>20</v>
      </c>
      <c r="C1560" s="3" t="s">
        <v>11</v>
      </c>
      <c r="D1560" s="3" t="s">
        <v>32</v>
      </c>
      <c r="E1560" s="4">
        <v>7</v>
      </c>
      <c r="F1560" s="4">
        <v>929</v>
      </c>
      <c r="G1560" s="3" t="s">
        <v>13</v>
      </c>
      <c r="H1560">
        <v>6503</v>
      </c>
      <c r="I1560">
        <v>5179.9942000000001</v>
      </c>
      <c r="J1560">
        <v>1323.0057999999999</v>
      </c>
      <c r="K1560" s="5">
        <f>IF(Table1[[#This Row],[Revenue]]=0, 0, Table1[[#This Row],[Profit]]/Table1[[#This Row],[Revenue]])</f>
        <v>0.20344545594341071</v>
      </c>
    </row>
    <row r="1561" spans="1:11" x14ac:dyDescent="0.35">
      <c r="A1561" s="1">
        <v>45645</v>
      </c>
      <c r="B1561" s="3" t="s">
        <v>27</v>
      </c>
      <c r="C1561" s="3" t="s">
        <v>24</v>
      </c>
      <c r="D1561" s="3" t="s">
        <v>32</v>
      </c>
      <c r="E1561" s="4">
        <v>16</v>
      </c>
      <c r="F1561" s="4">
        <v>1586</v>
      </c>
      <c r="G1561" s="3" t="s">
        <v>19</v>
      </c>
      <c r="H1561">
        <v>25376</v>
      </c>
      <c r="I1561">
        <v>19634.384999999998</v>
      </c>
      <c r="J1561">
        <v>5741.6149949999999</v>
      </c>
      <c r="K1561" s="5">
        <f>IF(Table1[[#This Row],[Revenue]]=0, 0, Table1[[#This Row],[Profit]]/Table1[[#This Row],[Revenue]])</f>
        <v>0.22626162496059268</v>
      </c>
    </row>
    <row r="1562" spans="1:11" x14ac:dyDescent="0.35">
      <c r="A1562" s="1">
        <v>45331</v>
      </c>
      <c r="B1562" s="3" t="s">
        <v>20</v>
      </c>
      <c r="C1562" s="3" t="s">
        <v>22</v>
      </c>
      <c r="D1562" s="3" t="s">
        <v>30</v>
      </c>
      <c r="E1562" s="4">
        <v>11</v>
      </c>
      <c r="F1562" s="4">
        <v>1322</v>
      </c>
      <c r="G1562" s="3" t="s">
        <v>13</v>
      </c>
      <c r="H1562">
        <v>14542</v>
      </c>
      <c r="I1562">
        <v>9335.9661059999999</v>
      </c>
      <c r="J1562">
        <v>5206.0338940000001</v>
      </c>
      <c r="K1562" s="5">
        <f>IF(Table1[[#This Row],[Revenue]]=0, 0, Table1[[#This Row],[Profit]]/Table1[[#This Row],[Revenue]])</f>
        <v>0.35799985517810479</v>
      </c>
    </row>
    <row r="1563" spans="1:11" x14ac:dyDescent="0.35">
      <c r="A1563" s="1">
        <v>45638</v>
      </c>
      <c r="B1563" s="3" t="s">
        <v>27</v>
      </c>
      <c r="C1563" s="3" t="s">
        <v>17</v>
      </c>
      <c r="D1563" s="3" t="s">
        <v>32</v>
      </c>
      <c r="E1563" s="4">
        <v>14</v>
      </c>
      <c r="F1563" s="4">
        <v>1394</v>
      </c>
      <c r="G1563" s="3" t="s">
        <v>19</v>
      </c>
      <c r="H1563">
        <v>19516</v>
      </c>
      <c r="I1563">
        <v>12654.408820000001</v>
      </c>
      <c r="J1563">
        <v>6861.5911839999999</v>
      </c>
      <c r="K1563" s="5">
        <f>IF(Table1[[#This Row],[Revenue]]=0, 0, Table1[[#This Row],[Profit]]/Table1[[#This Row],[Revenue]])</f>
        <v>0.35158798852223816</v>
      </c>
    </row>
    <row r="1564" spans="1:11" x14ac:dyDescent="0.35">
      <c r="A1564" s="1">
        <v>45528</v>
      </c>
      <c r="B1564" s="3" t="s">
        <v>10</v>
      </c>
      <c r="C1564" s="3" t="s">
        <v>24</v>
      </c>
      <c r="D1564" s="3" t="s">
        <v>29</v>
      </c>
      <c r="E1564" s="4">
        <v>3</v>
      </c>
      <c r="F1564" s="4">
        <v>845</v>
      </c>
      <c r="G1564" s="3" t="s">
        <v>19</v>
      </c>
      <c r="H1564">
        <v>2535</v>
      </c>
      <c r="I1564">
        <v>2031.5928590000001</v>
      </c>
      <c r="J1564">
        <v>503.40714079999998</v>
      </c>
      <c r="K1564" s="5">
        <f>IF(Table1[[#This Row],[Revenue]]=0, 0, Table1[[#This Row],[Profit]]/Table1[[#This Row],[Revenue]])</f>
        <v>0.19858269854043392</v>
      </c>
    </row>
    <row r="1565" spans="1:11" x14ac:dyDescent="0.35">
      <c r="A1565" s="1">
        <v>45580</v>
      </c>
      <c r="B1565" s="3" t="s">
        <v>10</v>
      </c>
      <c r="C1565" s="3" t="s">
        <v>24</v>
      </c>
      <c r="D1565" s="3" t="s">
        <v>18</v>
      </c>
      <c r="E1565" s="4">
        <v>19</v>
      </c>
      <c r="F1565" s="4">
        <v>657</v>
      </c>
      <c r="G1565" s="3" t="s">
        <v>19</v>
      </c>
      <c r="H1565">
        <v>12483</v>
      </c>
      <c r="I1565">
        <v>10519.084419999999</v>
      </c>
      <c r="J1565">
        <v>1963.915577</v>
      </c>
      <c r="K1565" s="5">
        <f>IF(Table1[[#This Row],[Revenue]]=0, 0, Table1[[#This Row],[Profit]]/Table1[[#This Row],[Revenue]])</f>
        <v>0.15732721116718737</v>
      </c>
    </row>
    <row r="1566" spans="1:11" x14ac:dyDescent="0.35">
      <c r="A1566" s="1">
        <v>45553</v>
      </c>
      <c r="B1566" s="3" t="s">
        <v>20</v>
      </c>
      <c r="C1566" s="3" t="s">
        <v>24</v>
      </c>
      <c r="D1566" s="3" t="s">
        <v>30</v>
      </c>
      <c r="E1566" s="4">
        <v>18</v>
      </c>
      <c r="F1566" s="4">
        <v>163</v>
      </c>
      <c r="G1566" s="3" t="s">
        <v>19</v>
      </c>
      <c r="H1566">
        <v>2934</v>
      </c>
      <c r="I1566">
        <v>2559.687089</v>
      </c>
      <c r="J1566">
        <v>374.31291090000002</v>
      </c>
      <c r="K1566" s="5">
        <f>IF(Table1[[#This Row],[Revenue]]=0, 0, Table1[[#This Row],[Profit]]/Table1[[#This Row],[Revenue]])</f>
        <v>0.12757767924335378</v>
      </c>
    </row>
    <row r="1567" spans="1:11" x14ac:dyDescent="0.35">
      <c r="A1567" s="1">
        <v>45507</v>
      </c>
      <c r="B1567" s="3" t="s">
        <v>20</v>
      </c>
      <c r="C1567" s="3" t="s">
        <v>26</v>
      </c>
      <c r="D1567" s="3" t="s">
        <v>29</v>
      </c>
      <c r="E1567" s="4">
        <v>10</v>
      </c>
      <c r="F1567" s="4">
        <v>1353</v>
      </c>
      <c r="G1567" s="3" t="s">
        <v>19</v>
      </c>
      <c r="H1567">
        <v>13530</v>
      </c>
      <c r="I1567">
        <v>11420.449140000001</v>
      </c>
      <c r="J1567">
        <v>2109.5508589999999</v>
      </c>
      <c r="K1567" s="5">
        <f>IF(Table1[[#This Row],[Revenue]]=0, 0, Table1[[#This Row],[Profit]]/Table1[[#This Row],[Revenue]])</f>
        <v>0.15591654538063562</v>
      </c>
    </row>
    <row r="1568" spans="1:11" x14ac:dyDescent="0.35">
      <c r="A1568" s="1">
        <v>45438</v>
      </c>
      <c r="B1568" s="3" t="s">
        <v>10</v>
      </c>
      <c r="C1568" s="3" t="s">
        <v>24</v>
      </c>
      <c r="D1568" s="3" t="s">
        <v>21</v>
      </c>
      <c r="E1568" s="4">
        <v>6</v>
      </c>
      <c r="F1568" s="4">
        <v>1041</v>
      </c>
      <c r="G1568" s="3" t="s">
        <v>19</v>
      </c>
      <c r="H1568">
        <v>6246</v>
      </c>
      <c r="I1568">
        <v>5572.5385640000004</v>
      </c>
      <c r="J1568">
        <v>673.46143570000004</v>
      </c>
      <c r="K1568" s="5">
        <f>IF(Table1[[#This Row],[Revenue]]=0, 0, Table1[[#This Row],[Profit]]/Table1[[#This Row],[Revenue]])</f>
        <v>0.10782283632724944</v>
      </c>
    </row>
    <row r="1569" spans="1:11" x14ac:dyDescent="0.35">
      <c r="A1569" s="1">
        <v>45627</v>
      </c>
      <c r="B1569" s="3" t="s">
        <v>27</v>
      </c>
      <c r="C1569" s="3" t="s">
        <v>26</v>
      </c>
      <c r="D1569" s="3" t="s">
        <v>12</v>
      </c>
      <c r="E1569" s="4">
        <v>13</v>
      </c>
      <c r="F1569" s="4">
        <v>348</v>
      </c>
      <c r="G1569" s="3" t="s">
        <v>19</v>
      </c>
      <c r="H1569">
        <v>4524</v>
      </c>
      <c r="I1569">
        <v>3268.4793490000002</v>
      </c>
      <c r="J1569">
        <v>1255.520651</v>
      </c>
      <c r="K1569" s="5">
        <f>IF(Table1[[#This Row],[Revenue]]=0, 0, Table1[[#This Row],[Profit]]/Table1[[#This Row],[Revenue]])</f>
        <v>0.27752445866489833</v>
      </c>
    </row>
    <row r="1570" spans="1:11" x14ac:dyDescent="0.35">
      <c r="A1570" s="1">
        <v>45459</v>
      </c>
      <c r="B1570" s="3" t="s">
        <v>10</v>
      </c>
      <c r="C1570" s="3" t="s">
        <v>24</v>
      </c>
      <c r="D1570" s="3" t="s">
        <v>12</v>
      </c>
      <c r="E1570" s="4">
        <v>10</v>
      </c>
      <c r="F1570" s="4">
        <v>1369</v>
      </c>
      <c r="G1570" s="3" t="s">
        <v>19</v>
      </c>
      <c r="H1570">
        <v>13690</v>
      </c>
      <c r="I1570">
        <v>9574.097753</v>
      </c>
      <c r="J1570">
        <v>4115.902247</v>
      </c>
      <c r="K1570" s="5">
        <f>IF(Table1[[#This Row],[Revenue]]=0, 0, Table1[[#This Row],[Profit]]/Table1[[#This Row],[Revenue]])</f>
        <v>0.30065027370343317</v>
      </c>
    </row>
    <row r="1571" spans="1:11" x14ac:dyDescent="0.35">
      <c r="A1571" s="1">
        <v>45383</v>
      </c>
      <c r="B1571" s="3" t="s">
        <v>20</v>
      </c>
      <c r="C1571" s="3" t="s">
        <v>31</v>
      </c>
      <c r="D1571" s="3" t="s">
        <v>21</v>
      </c>
      <c r="E1571" s="4">
        <v>18</v>
      </c>
      <c r="F1571" s="4">
        <v>1039</v>
      </c>
      <c r="G1571" s="3" t="s">
        <v>19</v>
      </c>
      <c r="H1571">
        <v>18702</v>
      </c>
      <c r="I1571">
        <v>11379.32944</v>
      </c>
      <c r="J1571">
        <v>7322.670556</v>
      </c>
      <c r="K1571" s="5">
        <f>IF(Table1[[#This Row],[Revenue]]=0, 0, Table1[[#This Row],[Profit]]/Table1[[#This Row],[Revenue]])</f>
        <v>0.39154478430114426</v>
      </c>
    </row>
    <row r="1572" spans="1:11" x14ac:dyDescent="0.35">
      <c r="A1572" s="1">
        <v>45644</v>
      </c>
      <c r="B1572" s="3" t="s">
        <v>10</v>
      </c>
      <c r="C1572" s="3" t="s">
        <v>14</v>
      </c>
      <c r="D1572" s="3" t="s">
        <v>30</v>
      </c>
      <c r="E1572" s="4">
        <v>16</v>
      </c>
      <c r="F1572" s="4">
        <v>1710</v>
      </c>
      <c r="G1572" s="3" t="s">
        <v>16</v>
      </c>
      <c r="H1572">
        <v>27360</v>
      </c>
      <c r="I1572">
        <v>20108.745190000001</v>
      </c>
      <c r="J1572">
        <v>7251.2548139999999</v>
      </c>
      <c r="K1572" s="5">
        <f>IF(Table1[[#This Row],[Revenue]]=0, 0, Table1[[#This Row],[Profit]]/Table1[[#This Row],[Revenue]])</f>
        <v>0.26503124320175436</v>
      </c>
    </row>
    <row r="1573" spans="1:11" x14ac:dyDescent="0.35">
      <c r="A1573" s="1">
        <v>45350</v>
      </c>
      <c r="B1573" s="3" t="s">
        <v>20</v>
      </c>
      <c r="C1573" s="3" t="s">
        <v>17</v>
      </c>
      <c r="D1573" s="3" t="s">
        <v>32</v>
      </c>
      <c r="E1573" s="4">
        <v>6</v>
      </c>
      <c r="F1573" s="4">
        <v>256</v>
      </c>
      <c r="G1573" s="3" t="s">
        <v>19</v>
      </c>
      <c r="H1573">
        <v>1536</v>
      </c>
      <c r="I1573">
        <v>1221.752011</v>
      </c>
      <c r="J1573">
        <v>314.24798859999999</v>
      </c>
      <c r="K1573" s="5">
        <f>IF(Table1[[#This Row],[Revenue]]=0, 0, Table1[[#This Row],[Profit]]/Table1[[#This Row],[Revenue]])</f>
        <v>0.20458853424479165</v>
      </c>
    </row>
    <row r="1574" spans="1:11" x14ac:dyDescent="0.35">
      <c r="A1574" s="1">
        <v>45350</v>
      </c>
      <c r="B1574" s="3" t="s">
        <v>20</v>
      </c>
      <c r="C1574" s="3" t="s">
        <v>31</v>
      </c>
      <c r="D1574" s="3" t="s">
        <v>25</v>
      </c>
      <c r="E1574" s="4">
        <v>13</v>
      </c>
      <c r="F1574" s="4">
        <v>834</v>
      </c>
      <c r="G1574" s="3" t="s">
        <v>19</v>
      </c>
      <c r="H1574">
        <v>10842</v>
      </c>
      <c r="I1574">
        <v>9157.3981469999999</v>
      </c>
      <c r="J1574">
        <v>1684.6018529999999</v>
      </c>
      <c r="K1574" s="5">
        <f>IF(Table1[[#This Row],[Revenue]]=0, 0, Table1[[#This Row],[Profit]]/Table1[[#This Row],[Revenue]])</f>
        <v>0.15537740758162699</v>
      </c>
    </row>
    <row r="1575" spans="1:11" x14ac:dyDescent="0.35">
      <c r="A1575" s="1">
        <v>45595</v>
      </c>
      <c r="B1575" s="3" t="s">
        <v>10</v>
      </c>
      <c r="C1575" s="3" t="s">
        <v>24</v>
      </c>
      <c r="D1575" s="3" t="s">
        <v>12</v>
      </c>
      <c r="E1575" s="4">
        <v>4</v>
      </c>
      <c r="F1575" s="4">
        <v>1825</v>
      </c>
      <c r="G1575" s="3" t="s">
        <v>19</v>
      </c>
      <c r="H1575">
        <v>7300</v>
      </c>
      <c r="I1575">
        <v>4965.727288</v>
      </c>
      <c r="J1575">
        <v>2334.272712</v>
      </c>
      <c r="K1575" s="5">
        <f>IF(Table1[[#This Row],[Revenue]]=0, 0, Table1[[#This Row],[Profit]]/Table1[[#This Row],[Revenue]])</f>
        <v>0.31976338520547942</v>
      </c>
    </row>
    <row r="1576" spans="1:11" x14ac:dyDescent="0.35">
      <c r="A1576" s="1">
        <v>45460</v>
      </c>
      <c r="B1576" s="3" t="s">
        <v>27</v>
      </c>
      <c r="C1576" s="3" t="s">
        <v>17</v>
      </c>
      <c r="D1576" s="3" t="s">
        <v>25</v>
      </c>
      <c r="E1576" s="4">
        <v>14</v>
      </c>
      <c r="F1576" s="4">
        <v>1084</v>
      </c>
      <c r="G1576" s="3" t="s">
        <v>19</v>
      </c>
      <c r="H1576">
        <v>15176</v>
      </c>
      <c r="I1576">
        <v>11443.878360000001</v>
      </c>
      <c r="J1576">
        <v>3732.1216370000002</v>
      </c>
      <c r="K1576" s="5">
        <f>IF(Table1[[#This Row],[Revenue]]=0, 0, Table1[[#This Row],[Profit]]/Table1[[#This Row],[Revenue]])</f>
        <v>0.24592261709277807</v>
      </c>
    </row>
    <row r="1577" spans="1:11" x14ac:dyDescent="0.35">
      <c r="A1577" s="1">
        <v>45560</v>
      </c>
      <c r="B1577" s="3" t="s">
        <v>23</v>
      </c>
      <c r="C1577" s="3" t="s">
        <v>17</v>
      </c>
      <c r="D1577" s="3" t="s">
        <v>21</v>
      </c>
      <c r="E1577" s="4">
        <v>1</v>
      </c>
      <c r="F1577" s="4">
        <v>1687</v>
      </c>
      <c r="G1577" s="3" t="s">
        <v>19</v>
      </c>
      <c r="H1577">
        <v>1687</v>
      </c>
      <c r="I1577">
        <v>1347.2430409999999</v>
      </c>
      <c r="J1577">
        <v>339.75695930000001</v>
      </c>
      <c r="K1577" s="5">
        <f>IF(Table1[[#This Row],[Revenue]]=0, 0, Table1[[#This Row],[Profit]]/Table1[[#This Row],[Revenue]])</f>
        <v>0.20139713058684056</v>
      </c>
    </row>
    <row r="1578" spans="1:11" x14ac:dyDescent="0.35">
      <c r="A1578" s="1">
        <v>45654</v>
      </c>
      <c r="B1578" s="3" t="s">
        <v>10</v>
      </c>
      <c r="C1578" s="3" t="s">
        <v>28</v>
      </c>
      <c r="D1578" s="3" t="s">
        <v>25</v>
      </c>
      <c r="E1578" s="4">
        <v>5</v>
      </c>
      <c r="F1578" s="4">
        <v>1211</v>
      </c>
      <c r="G1578" s="3" t="s">
        <v>16</v>
      </c>
      <c r="H1578">
        <v>6055</v>
      </c>
      <c r="I1578">
        <v>4634.9866060000004</v>
      </c>
      <c r="J1578">
        <v>1420.0133940000001</v>
      </c>
      <c r="K1578" s="5">
        <f>IF(Table1[[#This Row],[Revenue]]=0, 0, Table1[[#This Row],[Profit]]/Table1[[#This Row],[Revenue]])</f>
        <v>0.23451914021469861</v>
      </c>
    </row>
    <row r="1579" spans="1:11" x14ac:dyDescent="0.35">
      <c r="A1579" s="1">
        <v>45336</v>
      </c>
      <c r="B1579" s="3" t="s">
        <v>23</v>
      </c>
      <c r="C1579" s="3" t="s">
        <v>22</v>
      </c>
      <c r="D1579" s="3" t="s">
        <v>15</v>
      </c>
      <c r="E1579" s="4">
        <v>8</v>
      </c>
      <c r="F1579" s="4">
        <v>1436</v>
      </c>
      <c r="G1579" s="3" t="s">
        <v>13</v>
      </c>
      <c r="H1579">
        <v>11488</v>
      </c>
      <c r="I1579">
        <v>7837.1850000000004</v>
      </c>
      <c r="J1579">
        <v>3650.8150000000001</v>
      </c>
      <c r="K1579" s="5">
        <f>IF(Table1[[#This Row],[Revenue]]=0, 0, Table1[[#This Row],[Profit]]/Table1[[#This Row],[Revenue]])</f>
        <v>0.31779378481894149</v>
      </c>
    </row>
    <row r="1580" spans="1:11" x14ac:dyDescent="0.35">
      <c r="A1580" s="1">
        <v>45636</v>
      </c>
      <c r="B1580" s="3" t="s">
        <v>10</v>
      </c>
      <c r="C1580" s="3" t="s">
        <v>31</v>
      </c>
      <c r="D1580" s="3" t="s">
        <v>30</v>
      </c>
      <c r="E1580" s="4">
        <v>12</v>
      </c>
      <c r="F1580" s="4">
        <v>1974</v>
      </c>
      <c r="G1580" s="3" t="s">
        <v>19</v>
      </c>
      <c r="H1580">
        <v>23688</v>
      </c>
      <c r="I1580">
        <v>19871.501520000002</v>
      </c>
      <c r="J1580">
        <v>3816.4984800000002</v>
      </c>
      <c r="K1580" s="5">
        <f>IF(Table1[[#This Row],[Revenue]]=0, 0, Table1[[#This Row],[Profit]]/Table1[[#This Row],[Revenue]])</f>
        <v>0.16111526849037489</v>
      </c>
    </row>
    <row r="1581" spans="1:11" x14ac:dyDescent="0.35">
      <c r="A1581" s="1">
        <v>45472</v>
      </c>
      <c r="B1581" s="3" t="s">
        <v>23</v>
      </c>
      <c r="C1581" s="3" t="s">
        <v>22</v>
      </c>
      <c r="D1581" s="3" t="s">
        <v>29</v>
      </c>
      <c r="E1581" s="4">
        <v>2</v>
      </c>
      <c r="F1581" s="4">
        <v>1189</v>
      </c>
      <c r="G1581" s="3" t="s">
        <v>13</v>
      </c>
      <c r="H1581">
        <v>2378</v>
      </c>
      <c r="I1581">
        <v>1550.4757460000001</v>
      </c>
      <c r="J1581">
        <v>827.52425370000003</v>
      </c>
      <c r="K1581" s="5">
        <f>IF(Table1[[#This Row],[Revenue]]=0, 0, Table1[[#This Row],[Profit]]/Table1[[#This Row],[Revenue]])</f>
        <v>0.34799169625735915</v>
      </c>
    </row>
    <row r="1582" spans="1:11" x14ac:dyDescent="0.35">
      <c r="A1582" s="1">
        <v>45461</v>
      </c>
      <c r="B1582" s="3" t="s">
        <v>27</v>
      </c>
      <c r="C1582" s="3" t="s">
        <v>17</v>
      </c>
      <c r="D1582" s="3" t="s">
        <v>30</v>
      </c>
      <c r="E1582" s="4">
        <v>12</v>
      </c>
      <c r="F1582" s="4">
        <v>761</v>
      </c>
      <c r="G1582" s="3" t="s">
        <v>19</v>
      </c>
      <c r="H1582">
        <v>9132</v>
      </c>
      <c r="I1582">
        <v>7958.4827530000002</v>
      </c>
      <c r="J1582">
        <v>1173.517247</v>
      </c>
      <c r="K1582" s="5">
        <f>IF(Table1[[#This Row],[Revenue]]=0, 0, Table1[[#This Row],[Profit]]/Table1[[#This Row],[Revenue]])</f>
        <v>0.12850604982479194</v>
      </c>
    </row>
    <row r="1583" spans="1:11" x14ac:dyDescent="0.35">
      <c r="A1583" s="1">
        <v>45647</v>
      </c>
      <c r="B1583" s="3" t="s">
        <v>27</v>
      </c>
      <c r="C1583" s="3" t="s">
        <v>26</v>
      </c>
      <c r="D1583" s="3" t="s">
        <v>44</v>
      </c>
      <c r="E1583" s="4">
        <v>5</v>
      </c>
      <c r="F1583" s="4">
        <v>1143</v>
      </c>
      <c r="G1583" s="3" t="s">
        <v>19</v>
      </c>
      <c r="H1583">
        <v>5715</v>
      </c>
      <c r="I1583">
        <v>5062.2271259999998</v>
      </c>
      <c r="J1583">
        <v>652.77287369999999</v>
      </c>
      <c r="K1583" s="5">
        <f>IF(Table1[[#This Row],[Revenue]]=0, 0, Table1[[#This Row],[Profit]]/Table1[[#This Row],[Revenue]])</f>
        <v>0.11422097527559055</v>
      </c>
    </row>
    <row r="1584" spans="1:11" x14ac:dyDescent="0.35">
      <c r="A1584" s="1">
        <v>45482</v>
      </c>
      <c r="B1584" s="3" t="s">
        <v>10</v>
      </c>
      <c r="C1584" s="3" t="s">
        <v>17</v>
      </c>
      <c r="D1584" s="3" t="s">
        <v>32</v>
      </c>
      <c r="E1584" s="4">
        <v>5</v>
      </c>
      <c r="F1584" s="4">
        <v>132</v>
      </c>
      <c r="G1584" s="3" t="s">
        <v>19</v>
      </c>
      <c r="H1584">
        <v>660</v>
      </c>
      <c r="I1584">
        <v>468.38350589999999</v>
      </c>
      <c r="J1584">
        <v>191.61649410000001</v>
      </c>
      <c r="K1584" s="5">
        <f>IF(Table1[[#This Row],[Revenue]]=0, 0, Table1[[#This Row],[Profit]]/Table1[[#This Row],[Revenue]])</f>
        <v>0.29032802136363639</v>
      </c>
    </row>
    <row r="1585" spans="1:11" x14ac:dyDescent="0.35">
      <c r="A1585" s="1">
        <v>45446</v>
      </c>
      <c r="B1585" s="3" t="s">
        <v>20</v>
      </c>
      <c r="C1585" s="3" t="s">
        <v>22</v>
      </c>
      <c r="D1585" s="3" t="s">
        <v>32</v>
      </c>
      <c r="E1585" s="4">
        <v>13</v>
      </c>
      <c r="F1585" s="4">
        <v>1963</v>
      </c>
      <c r="G1585" s="3" t="s">
        <v>13</v>
      </c>
      <c r="H1585">
        <v>25519</v>
      </c>
      <c r="I1585">
        <v>18191.334930000001</v>
      </c>
      <c r="J1585">
        <v>7327.6650669999999</v>
      </c>
      <c r="K1585" s="5">
        <f>IF(Table1[[#This Row],[Revenue]]=0, 0, Table1[[#This Row],[Profit]]/Table1[[#This Row],[Revenue]])</f>
        <v>0.28714546287080217</v>
      </c>
    </row>
    <row r="1586" spans="1:11" x14ac:dyDescent="0.35">
      <c r="A1586" s="1">
        <v>45479</v>
      </c>
      <c r="B1586" s="3" t="s">
        <v>43</v>
      </c>
      <c r="C1586" s="3" t="s">
        <v>31</v>
      </c>
      <c r="D1586" s="3" t="s">
        <v>30</v>
      </c>
      <c r="E1586" s="4">
        <v>9</v>
      </c>
      <c r="F1586" s="4">
        <v>1916</v>
      </c>
      <c r="G1586" s="3" t="s">
        <v>19</v>
      </c>
      <c r="H1586">
        <v>17244</v>
      </c>
      <c r="I1586">
        <v>14191.52709</v>
      </c>
      <c r="J1586">
        <v>3052.4729109999998</v>
      </c>
      <c r="K1586" s="5">
        <f>IF(Table1[[#This Row],[Revenue]]=0, 0, Table1[[#This Row],[Profit]]/Table1[[#This Row],[Revenue]])</f>
        <v>0.17701652232660633</v>
      </c>
    </row>
    <row r="1587" spans="1:11" x14ac:dyDescent="0.35">
      <c r="A1587" s="1">
        <v>45298</v>
      </c>
      <c r="B1587" s="3" t="s">
        <v>20</v>
      </c>
      <c r="C1587" s="3" t="s">
        <v>24</v>
      </c>
      <c r="D1587" s="3" t="s">
        <v>21</v>
      </c>
      <c r="E1587" s="4">
        <v>10</v>
      </c>
      <c r="F1587" s="4">
        <v>657</v>
      </c>
      <c r="G1587" s="3" t="s">
        <v>19</v>
      </c>
      <c r="H1587">
        <v>6570</v>
      </c>
      <c r="I1587">
        <v>4841.3448280000002</v>
      </c>
      <c r="J1587">
        <v>1728.655172</v>
      </c>
      <c r="K1587" s="5">
        <f>IF(Table1[[#This Row],[Revenue]]=0, 0, Table1[[#This Row],[Profit]]/Table1[[#This Row],[Revenue]])</f>
        <v>0.26311342039573821</v>
      </c>
    </row>
    <row r="1588" spans="1:11" x14ac:dyDescent="0.35">
      <c r="A1588" s="1">
        <v>45424</v>
      </c>
      <c r="B1588" s="3" t="s">
        <v>20</v>
      </c>
      <c r="C1588" s="3" t="s">
        <v>28</v>
      </c>
      <c r="D1588" s="3" t="s">
        <v>21</v>
      </c>
      <c r="E1588" s="4">
        <v>1</v>
      </c>
      <c r="F1588" s="4">
        <v>172</v>
      </c>
      <c r="G1588" s="3" t="s">
        <v>16</v>
      </c>
      <c r="H1588">
        <v>172</v>
      </c>
      <c r="I1588">
        <v>104.6762834</v>
      </c>
      <c r="J1588">
        <v>67.323716590000004</v>
      </c>
      <c r="K1588" s="5">
        <f>IF(Table1[[#This Row],[Revenue]]=0, 0, Table1[[#This Row],[Profit]]/Table1[[#This Row],[Revenue]])</f>
        <v>0.39141695691860467</v>
      </c>
    </row>
    <row r="1589" spans="1:11" x14ac:dyDescent="0.35">
      <c r="A1589" s="1">
        <v>45526</v>
      </c>
      <c r="B1589" s="3" t="s">
        <v>20</v>
      </c>
      <c r="C1589" s="3" t="s">
        <v>28</v>
      </c>
      <c r="D1589" s="3" t="s">
        <v>15</v>
      </c>
      <c r="E1589" s="4">
        <v>3</v>
      </c>
      <c r="F1589" s="4">
        <v>1989</v>
      </c>
      <c r="G1589" s="3" t="s">
        <v>16</v>
      </c>
      <c r="H1589">
        <v>5967</v>
      </c>
      <c r="I1589">
        <v>5226.8713299999999</v>
      </c>
      <c r="J1589">
        <v>740.12866980000001</v>
      </c>
      <c r="K1589" s="5">
        <f>IF(Table1[[#This Row],[Revenue]]=0, 0, Table1[[#This Row],[Profit]]/Table1[[#This Row],[Revenue]])</f>
        <v>0.1240369816993464</v>
      </c>
    </row>
    <row r="1590" spans="1:11" x14ac:dyDescent="0.35">
      <c r="A1590" s="1">
        <v>45336</v>
      </c>
      <c r="B1590" s="3" t="s">
        <v>27</v>
      </c>
      <c r="C1590" s="3" t="s">
        <v>28</v>
      </c>
      <c r="D1590" s="3" t="s">
        <v>15</v>
      </c>
      <c r="E1590" s="4">
        <v>18</v>
      </c>
      <c r="F1590" s="4">
        <v>924</v>
      </c>
      <c r="G1590" s="3" t="s">
        <v>16</v>
      </c>
      <c r="H1590">
        <v>16632</v>
      </c>
      <c r="I1590">
        <v>12128.47191</v>
      </c>
      <c r="J1590">
        <v>4503.5280940000002</v>
      </c>
      <c r="K1590" s="5">
        <f>IF(Table1[[#This Row],[Revenue]]=0, 0, Table1[[#This Row],[Profit]]/Table1[[#This Row],[Revenue]])</f>
        <v>0.27077489742664745</v>
      </c>
    </row>
    <row r="1591" spans="1:11" x14ac:dyDescent="0.35">
      <c r="A1591" s="1">
        <v>45605</v>
      </c>
      <c r="B1591" s="3" t="s">
        <v>10</v>
      </c>
      <c r="C1591" s="3" t="s">
        <v>24</v>
      </c>
      <c r="D1591" s="3" t="s">
        <v>32</v>
      </c>
      <c r="E1591" s="4">
        <v>12</v>
      </c>
      <c r="F1591" s="4">
        <v>1466</v>
      </c>
      <c r="G1591" s="3" t="s">
        <v>19</v>
      </c>
      <c r="H1591">
        <v>17592</v>
      </c>
      <c r="I1591">
        <v>11629.16574</v>
      </c>
      <c r="J1591">
        <v>5962.8342570000004</v>
      </c>
      <c r="K1591" s="5">
        <f>IF(Table1[[#This Row],[Revenue]]=0, 0, Table1[[#This Row],[Profit]]/Table1[[#This Row],[Revenue]])</f>
        <v>0.33895146981582541</v>
      </c>
    </row>
    <row r="1592" spans="1:11" x14ac:dyDescent="0.35">
      <c r="A1592" s="1">
        <v>45540</v>
      </c>
      <c r="B1592" s="3" t="s">
        <v>10</v>
      </c>
      <c r="C1592" s="3" t="s">
        <v>28</v>
      </c>
      <c r="D1592" s="3" t="s">
        <v>15</v>
      </c>
      <c r="E1592" s="4">
        <v>3</v>
      </c>
      <c r="F1592" s="4">
        <v>1256</v>
      </c>
      <c r="G1592" s="3" t="s">
        <v>16</v>
      </c>
      <c r="H1592">
        <v>3768</v>
      </c>
      <c r="I1592">
        <v>2888.9226680000002</v>
      </c>
      <c r="J1592">
        <v>879.07733169999995</v>
      </c>
      <c r="K1592" s="5">
        <f>IF(Table1[[#This Row],[Revenue]]=0, 0, Table1[[#This Row],[Profit]]/Table1[[#This Row],[Revenue]])</f>
        <v>0.23330077805201696</v>
      </c>
    </row>
    <row r="1593" spans="1:11" x14ac:dyDescent="0.35">
      <c r="A1593" s="1">
        <v>45322</v>
      </c>
      <c r="B1593" s="3" t="s">
        <v>27</v>
      </c>
      <c r="C1593" s="3" t="s">
        <v>31</v>
      </c>
      <c r="D1593" s="3" t="s">
        <v>12</v>
      </c>
      <c r="E1593" s="4">
        <v>9</v>
      </c>
      <c r="F1593" s="4">
        <v>1178</v>
      </c>
      <c r="G1593" s="3" t="s">
        <v>19</v>
      </c>
      <c r="H1593">
        <v>10602</v>
      </c>
      <c r="I1593">
        <v>7057.4529409999996</v>
      </c>
      <c r="J1593">
        <v>3544.547059</v>
      </c>
      <c r="K1593" s="5">
        <f>IF(Table1[[#This Row],[Revenue]]=0, 0, Table1[[#This Row],[Profit]]/Table1[[#This Row],[Revenue]])</f>
        <v>0.33432815119788717</v>
      </c>
    </row>
    <row r="1594" spans="1:11" x14ac:dyDescent="0.35">
      <c r="A1594" s="1">
        <v>45314</v>
      </c>
      <c r="B1594" s="3" t="s">
        <v>27</v>
      </c>
      <c r="C1594" s="3" t="s">
        <v>43</v>
      </c>
      <c r="D1594" s="3" t="s">
        <v>12</v>
      </c>
      <c r="E1594" s="4">
        <v>2</v>
      </c>
      <c r="F1594" s="4">
        <v>160</v>
      </c>
      <c r="G1594" s="3" t="s">
        <v>19</v>
      </c>
      <c r="H1594">
        <v>320</v>
      </c>
      <c r="I1594">
        <v>211.77811199999999</v>
      </c>
      <c r="J1594">
        <v>108.22188800000001</v>
      </c>
      <c r="K1594" s="5">
        <f>IF(Table1[[#This Row],[Revenue]]=0, 0, Table1[[#This Row],[Profit]]/Table1[[#This Row],[Revenue]])</f>
        <v>0.33819340000000003</v>
      </c>
    </row>
    <row r="1595" spans="1:11" x14ac:dyDescent="0.35">
      <c r="A1595" s="1">
        <v>45451</v>
      </c>
      <c r="B1595" s="3" t="s">
        <v>10</v>
      </c>
      <c r="C1595" s="3" t="s">
        <v>28</v>
      </c>
      <c r="D1595" s="3" t="s">
        <v>29</v>
      </c>
      <c r="E1595" s="4">
        <v>3</v>
      </c>
      <c r="F1595" s="4">
        <v>1980</v>
      </c>
      <c r="G1595" s="3" t="s">
        <v>16</v>
      </c>
      <c r="H1595">
        <v>5940</v>
      </c>
      <c r="I1595">
        <v>4536.4932250000002</v>
      </c>
      <c r="J1595">
        <v>1403.5067750000001</v>
      </c>
      <c r="K1595" s="5">
        <f>IF(Table1[[#This Row],[Revenue]]=0, 0, Table1[[#This Row],[Profit]]/Table1[[#This Row],[Revenue]])</f>
        <v>0.23628060185185187</v>
      </c>
    </row>
    <row r="1596" spans="1:11" x14ac:dyDescent="0.35">
      <c r="A1596" s="1">
        <v>45654</v>
      </c>
      <c r="B1596" s="3" t="s">
        <v>20</v>
      </c>
      <c r="C1596" s="3" t="s">
        <v>24</v>
      </c>
      <c r="D1596" s="3" t="s">
        <v>15</v>
      </c>
      <c r="E1596" s="4">
        <v>14</v>
      </c>
      <c r="F1596" s="4">
        <v>1643</v>
      </c>
      <c r="G1596" s="3" t="s">
        <v>19</v>
      </c>
      <c r="H1596">
        <v>23002</v>
      </c>
      <c r="I1596">
        <v>16499.62644</v>
      </c>
      <c r="J1596">
        <v>6502.3735589999997</v>
      </c>
      <c r="K1596" s="5">
        <f>IF(Table1[[#This Row],[Revenue]]=0, 0, Table1[[#This Row],[Profit]]/Table1[[#This Row],[Revenue]])</f>
        <v>0.28268731236414224</v>
      </c>
    </row>
    <row r="1597" spans="1:11" x14ac:dyDescent="0.35">
      <c r="A1597" s="1">
        <v>45449</v>
      </c>
      <c r="B1597" s="3" t="s">
        <v>23</v>
      </c>
      <c r="C1597" s="3" t="s">
        <v>22</v>
      </c>
      <c r="D1597" s="3" t="s">
        <v>29</v>
      </c>
      <c r="E1597" s="4">
        <v>4</v>
      </c>
      <c r="F1597" s="4">
        <v>371</v>
      </c>
      <c r="G1597" s="3" t="s">
        <v>13</v>
      </c>
      <c r="H1597">
        <v>1484</v>
      </c>
      <c r="I1597">
        <v>1145.496607</v>
      </c>
      <c r="J1597">
        <v>338.50339250000002</v>
      </c>
      <c r="K1597" s="5">
        <f>IF(Table1[[#This Row],[Revenue]]=0, 0, Table1[[#This Row],[Profit]]/Table1[[#This Row],[Revenue]])</f>
        <v>0.22810201650943399</v>
      </c>
    </row>
    <row r="1598" spans="1:11" x14ac:dyDescent="0.35">
      <c r="A1598" s="1">
        <v>45330</v>
      </c>
      <c r="B1598" s="3" t="s">
        <v>23</v>
      </c>
      <c r="C1598" s="3" t="s">
        <v>14</v>
      </c>
      <c r="D1598" s="3" t="s">
        <v>15</v>
      </c>
      <c r="E1598" s="4">
        <v>19</v>
      </c>
      <c r="F1598" s="4">
        <v>345</v>
      </c>
      <c r="G1598" s="3" t="s">
        <v>16</v>
      </c>
      <c r="H1598">
        <v>6555</v>
      </c>
      <c r="I1598">
        <v>5893.2572209999998</v>
      </c>
      <c r="J1598">
        <v>661.74277849999999</v>
      </c>
      <c r="K1598" s="5">
        <f>IF(Table1[[#This Row],[Revenue]]=0, 0, Table1[[#This Row],[Profit]]/Table1[[#This Row],[Revenue]])</f>
        <v>0.10095236895499618</v>
      </c>
    </row>
    <row r="1599" spans="1:11" x14ac:dyDescent="0.35">
      <c r="A1599" s="1">
        <v>45373</v>
      </c>
      <c r="B1599" s="3" t="s">
        <v>23</v>
      </c>
      <c r="C1599" s="3" t="s">
        <v>14</v>
      </c>
      <c r="D1599" s="3" t="s">
        <v>32</v>
      </c>
      <c r="E1599" s="4">
        <v>13</v>
      </c>
      <c r="F1599" s="4">
        <v>1299</v>
      </c>
      <c r="G1599" s="3" t="s">
        <v>16</v>
      </c>
      <c r="H1599">
        <v>16887</v>
      </c>
      <c r="I1599">
        <v>14484.07187</v>
      </c>
      <c r="J1599">
        <v>2402.928128</v>
      </c>
      <c r="K1599" s="5">
        <f>IF(Table1[[#This Row],[Revenue]]=0, 0, Table1[[#This Row],[Profit]]/Table1[[#This Row],[Revenue]])</f>
        <v>0.14229455368034583</v>
      </c>
    </row>
    <row r="1600" spans="1:11" x14ac:dyDescent="0.35">
      <c r="A1600" s="1">
        <v>45647</v>
      </c>
      <c r="B1600" s="3" t="s">
        <v>20</v>
      </c>
      <c r="C1600" s="3" t="s">
        <v>31</v>
      </c>
      <c r="D1600" s="3" t="s">
        <v>32</v>
      </c>
      <c r="E1600" s="4">
        <v>7</v>
      </c>
      <c r="F1600" s="4">
        <v>727</v>
      </c>
      <c r="G1600" s="3" t="s">
        <v>19</v>
      </c>
      <c r="H1600">
        <v>5089</v>
      </c>
      <c r="I1600">
        <v>3065.1110090000002</v>
      </c>
      <c r="J1600">
        <v>2023.888991</v>
      </c>
      <c r="K1600" s="5">
        <f>IF(Table1[[#This Row],[Revenue]]=0, 0, Table1[[#This Row],[Profit]]/Table1[[#This Row],[Revenue]])</f>
        <v>0.3976987602672431</v>
      </c>
    </row>
    <row r="1601" spans="1:11" x14ac:dyDescent="0.35">
      <c r="A1601" s="1">
        <v>45497</v>
      </c>
      <c r="B1601" s="3" t="s">
        <v>27</v>
      </c>
      <c r="C1601" s="3" t="s">
        <v>26</v>
      </c>
      <c r="D1601" s="3" t="s">
        <v>30</v>
      </c>
      <c r="E1601" s="4">
        <v>3</v>
      </c>
      <c r="F1601" s="4">
        <v>1906</v>
      </c>
      <c r="G1601" s="3" t="s">
        <v>19</v>
      </c>
      <c r="H1601">
        <v>5718</v>
      </c>
      <c r="I1601">
        <v>4477.3302720000002</v>
      </c>
      <c r="J1601">
        <v>1240.6697280000001</v>
      </c>
      <c r="K1601" s="5">
        <f>IF(Table1[[#This Row],[Revenue]]=0, 0, Table1[[#This Row],[Profit]]/Table1[[#This Row],[Revenue]])</f>
        <v>0.21697616789087096</v>
      </c>
    </row>
    <row r="1602" spans="1:11" x14ac:dyDescent="0.35">
      <c r="A1602" s="1">
        <v>45368</v>
      </c>
      <c r="B1602" s="3" t="s">
        <v>10</v>
      </c>
      <c r="C1602" s="3" t="s">
        <v>28</v>
      </c>
      <c r="D1602" s="3" t="s">
        <v>32</v>
      </c>
      <c r="E1602" s="4">
        <v>9</v>
      </c>
      <c r="F1602" s="4">
        <v>804</v>
      </c>
      <c r="G1602" s="3" t="s">
        <v>16</v>
      </c>
      <c r="H1602">
        <v>7236</v>
      </c>
      <c r="I1602">
        <v>5701.076701</v>
      </c>
      <c r="J1602">
        <v>1534.923299</v>
      </c>
      <c r="K1602" s="5">
        <f>IF(Table1[[#This Row],[Revenue]]=0, 0, Table1[[#This Row],[Profit]]/Table1[[#This Row],[Revenue]])</f>
        <v>0.21212317564953012</v>
      </c>
    </row>
    <row r="1603" spans="1:11" x14ac:dyDescent="0.35">
      <c r="A1603" s="1">
        <v>45303</v>
      </c>
      <c r="B1603" s="3" t="s">
        <v>20</v>
      </c>
      <c r="C1603" s="3" t="s">
        <v>26</v>
      </c>
      <c r="D1603" s="3" t="s">
        <v>30</v>
      </c>
      <c r="E1603" s="4">
        <v>2</v>
      </c>
      <c r="F1603" s="4">
        <v>761</v>
      </c>
      <c r="G1603" s="3" t="s">
        <v>19</v>
      </c>
      <c r="H1603">
        <v>1522</v>
      </c>
      <c r="I1603">
        <v>1314.1819390000001</v>
      </c>
      <c r="J1603">
        <v>207.8180606</v>
      </c>
      <c r="K1603" s="5">
        <f>IF(Table1[[#This Row],[Revenue]]=0, 0, Table1[[#This Row],[Profit]]/Table1[[#This Row],[Revenue]])</f>
        <v>0.13654274678055189</v>
      </c>
    </row>
    <row r="1604" spans="1:11" x14ac:dyDescent="0.35">
      <c r="A1604" s="1">
        <v>45586</v>
      </c>
      <c r="B1604" s="3" t="s">
        <v>27</v>
      </c>
      <c r="C1604" s="3" t="s">
        <v>24</v>
      </c>
      <c r="D1604" s="3" t="s">
        <v>21</v>
      </c>
      <c r="E1604" s="4">
        <v>9</v>
      </c>
      <c r="F1604" s="4">
        <v>1254</v>
      </c>
      <c r="G1604" s="3" t="s">
        <v>19</v>
      </c>
      <c r="H1604">
        <v>11286</v>
      </c>
      <c r="I1604">
        <v>8901.461781</v>
      </c>
      <c r="J1604">
        <v>2384.538219</v>
      </c>
      <c r="K1604" s="5">
        <f>IF(Table1[[#This Row],[Revenue]]=0, 0, Table1[[#This Row],[Profit]]/Table1[[#This Row],[Revenue]])</f>
        <v>0.21128284768740033</v>
      </c>
    </row>
    <row r="1605" spans="1:11" x14ac:dyDescent="0.35">
      <c r="A1605" s="1">
        <v>45515</v>
      </c>
      <c r="B1605" s="3" t="s">
        <v>20</v>
      </c>
      <c r="C1605" s="3" t="s">
        <v>26</v>
      </c>
      <c r="D1605" s="3" t="s">
        <v>12</v>
      </c>
      <c r="E1605" s="4">
        <v>12</v>
      </c>
      <c r="F1605" s="4">
        <v>1225</v>
      </c>
      <c r="G1605" s="3" t="s">
        <v>19</v>
      </c>
      <c r="H1605">
        <v>14700</v>
      </c>
      <c r="I1605">
        <v>9824.2211150000003</v>
      </c>
      <c r="J1605">
        <v>4875.7788849999997</v>
      </c>
      <c r="K1605" s="5">
        <f>IF(Table1[[#This Row],[Revenue]]=0, 0, Table1[[#This Row],[Profit]]/Table1[[#This Row],[Revenue]])</f>
        <v>0.33168563843537413</v>
      </c>
    </row>
    <row r="1606" spans="1:11" x14ac:dyDescent="0.35">
      <c r="A1606" s="1">
        <v>45304</v>
      </c>
      <c r="B1606" s="3" t="s">
        <v>42</v>
      </c>
      <c r="C1606" s="3" t="s">
        <v>31</v>
      </c>
      <c r="D1606" s="3" t="s">
        <v>29</v>
      </c>
      <c r="E1606" s="4">
        <v>12</v>
      </c>
      <c r="F1606" s="4">
        <v>409</v>
      </c>
      <c r="G1606" s="3" t="s">
        <v>19</v>
      </c>
      <c r="H1606">
        <v>4908</v>
      </c>
      <c r="I1606">
        <v>3634.643294</v>
      </c>
      <c r="J1606">
        <v>1273.356706</v>
      </c>
      <c r="K1606" s="5">
        <f>IF(Table1[[#This Row],[Revenue]]=0, 0, Table1[[#This Row],[Profit]]/Table1[[#This Row],[Revenue]])</f>
        <v>0.25944513162184191</v>
      </c>
    </row>
    <row r="1607" spans="1:11" x14ac:dyDescent="0.35">
      <c r="A1607" s="1">
        <v>45337</v>
      </c>
      <c r="B1607" s="3" t="s">
        <v>23</v>
      </c>
      <c r="C1607" s="3" t="s">
        <v>31</v>
      </c>
      <c r="D1607" s="3" t="s">
        <v>25</v>
      </c>
      <c r="E1607" s="4">
        <v>15</v>
      </c>
      <c r="F1607" s="4">
        <v>1905</v>
      </c>
      <c r="G1607" s="3" t="s">
        <v>19</v>
      </c>
      <c r="H1607">
        <v>28575</v>
      </c>
      <c r="I1607">
        <v>24080.02735</v>
      </c>
      <c r="J1607">
        <v>4494.9726529999998</v>
      </c>
      <c r="K1607" s="5">
        <f>IF(Table1[[#This Row],[Revenue]]=0, 0, Table1[[#This Row],[Profit]]/Table1[[#This Row],[Revenue]])</f>
        <v>0.15730437980752404</v>
      </c>
    </row>
    <row r="1608" spans="1:11" x14ac:dyDescent="0.35">
      <c r="A1608" s="1">
        <v>45446</v>
      </c>
      <c r="B1608" s="3" t="s">
        <v>20</v>
      </c>
      <c r="C1608" s="3" t="s">
        <v>17</v>
      </c>
      <c r="D1608" s="3" t="s">
        <v>32</v>
      </c>
      <c r="E1608" s="4">
        <v>2</v>
      </c>
      <c r="F1608" s="4">
        <v>1415</v>
      </c>
      <c r="G1608" s="3" t="s">
        <v>19</v>
      </c>
      <c r="H1608">
        <v>2830</v>
      </c>
      <c r="I1608">
        <v>2481.4783950000001</v>
      </c>
      <c r="J1608">
        <v>348.52160509999999</v>
      </c>
      <c r="K1608" s="5">
        <f>IF(Table1[[#This Row],[Revenue]]=0, 0, Table1[[#This Row],[Profit]]/Table1[[#This Row],[Revenue]])</f>
        <v>0.12315251063604239</v>
      </c>
    </row>
    <row r="1609" spans="1:11" x14ac:dyDescent="0.35">
      <c r="A1609" s="1">
        <v>45404</v>
      </c>
      <c r="B1609" s="3" t="s">
        <v>27</v>
      </c>
      <c r="C1609" s="3" t="s">
        <v>14</v>
      </c>
      <c r="D1609" s="3" t="s">
        <v>18</v>
      </c>
      <c r="E1609" s="4">
        <v>18</v>
      </c>
      <c r="F1609" s="4">
        <v>1845</v>
      </c>
      <c r="G1609" s="3" t="s">
        <v>16</v>
      </c>
      <c r="H1609">
        <v>33210</v>
      </c>
      <c r="I1609">
        <v>22286.385330000001</v>
      </c>
      <c r="J1609">
        <v>10923.614670000001</v>
      </c>
      <c r="K1609" s="5">
        <f>IF(Table1[[#This Row],[Revenue]]=0, 0, Table1[[#This Row],[Profit]]/Table1[[#This Row],[Revenue]])</f>
        <v>0.32892546431797653</v>
      </c>
    </row>
    <row r="1610" spans="1:11" x14ac:dyDescent="0.35">
      <c r="A1610" s="1">
        <v>45524</v>
      </c>
      <c r="B1610" s="3" t="s">
        <v>27</v>
      </c>
      <c r="C1610" s="3" t="s">
        <v>28</v>
      </c>
      <c r="D1610" s="3" t="s">
        <v>21</v>
      </c>
      <c r="E1610" s="4">
        <v>13</v>
      </c>
      <c r="F1610" s="4">
        <v>594</v>
      </c>
      <c r="G1610" s="3" t="s">
        <v>16</v>
      </c>
      <c r="H1610">
        <v>7722</v>
      </c>
      <c r="I1610">
        <v>5883.248329</v>
      </c>
      <c r="J1610">
        <v>1838.751671</v>
      </c>
      <c r="K1610" s="5">
        <f>IF(Table1[[#This Row],[Revenue]]=0, 0, Table1[[#This Row],[Profit]]/Table1[[#This Row],[Revenue]])</f>
        <v>0.23811857951307952</v>
      </c>
    </row>
    <row r="1611" spans="1:11" x14ac:dyDescent="0.35">
      <c r="A1611" s="1">
        <v>45308</v>
      </c>
      <c r="B1611" s="3" t="s">
        <v>10</v>
      </c>
      <c r="C1611" s="3" t="s">
        <v>17</v>
      </c>
      <c r="D1611" s="3" t="s">
        <v>30</v>
      </c>
      <c r="E1611" s="4">
        <v>14</v>
      </c>
      <c r="F1611" s="4">
        <v>1484</v>
      </c>
      <c r="G1611" s="3" t="s">
        <v>19</v>
      </c>
      <c r="H1611">
        <v>20776</v>
      </c>
      <c r="I1611">
        <v>13456.163629999999</v>
      </c>
      <c r="J1611">
        <v>7319.8363650000001</v>
      </c>
      <c r="K1611" s="5">
        <f>IF(Table1[[#This Row],[Revenue]]=0, 0, Table1[[#This Row],[Profit]]/Table1[[#This Row],[Revenue]])</f>
        <v>0.35232173493453983</v>
      </c>
    </row>
    <row r="1612" spans="1:11" x14ac:dyDescent="0.35">
      <c r="A1612" s="1">
        <v>45651</v>
      </c>
      <c r="B1612" s="3" t="s">
        <v>23</v>
      </c>
      <c r="C1612" s="3" t="s">
        <v>26</v>
      </c>
      <c r="D1612" s="3" t="s">
        <v>32</v>
      </c>
      <c r="E1612" s="4">
        <v>5</v>
      </c>
      <c r="F1612" s="4">
        <v>437</v>
      </c>
      <c r="G1612" s="3" t="s">
        <v>19</v>
      </c>
      <c r="H1612">
        <v>2185</v>
      </c>
      <c r="I1612">
        <v>1636.7833029999999</v>
      </c>
      <c r="J1612">
        <v>548.21669740000004</v>
      </c>
      <c r="K1612" s="5">
        <f>IF(Table1[[#This Row],[Revenue]]=0, 0, Table1[[#This Row],[Profit]]/Table1[[#This Row],[Revenue]])</f>
        <v>0.25090009034324945</v>
      </c>
    </row>
    <row r="1613" spans="1:11" x14ac:dyDescent="0.35">
      <c r="A1613" s="1">
        <v>45514</v>
      </c>
      <c r="B1613" s="3" t="s">
        <v>10</v>
      </c>
      <c r="C1613" s="3" t="s">
        <v>11</v>
      </c>
      <c r="D1613" s="3" t="s">
        <v>29</v>
      </c>
      <c r="E1613" s="4">
        <v>10</v>
      </c>
      <c r="F1613" s="4">
        <v>678</v>
      </c>
      <c r="G1613" s="3" t="s">
        <v>13</v>
      </c>
      <c r="H1613">
        <v>6780</v>
      </c>
      <c r="I1613">
        <v>4251.2921219999998</v>
      </c>
      <c r="J1613">
        <v>2528.7078780000002</v>
      </c>
      <c r="K1613" s="5">
        <f>IF(Table1[[#This Row],[Revenue]]=0, 0, Table1[[#This Row],[Profit]]/Table1[[#This Row],[Revenue]])</f>
        <v>0.37296576371681417</v>
      </c>
    </row>
    <row r="1614" spans="1:11" x14ac:dyDescent="0.35">
      <c r="A1614" s="1">
        <v>45645</v>
      </c>
      <c r="B1614" s="3" t="s">
        <v>10</v>
      </c>
      <c r="C1614" s="3" t="s">
        <v>17</v>
      </c>
      <c r="D1614" s="3" t="s">
        <v>25</v>
      </c>
      <c r="E1614" s="4">
        <v>12</v>
      </c>
      <c r="F1614" s="4">
        <v>109</v>
      </c>
      <c r="G1614" s="3" t="s">
        <v>19</v>
      </c>
      <c r="H1614">
        <v>1308</v>
      </c>
      <c r="I1614">
        <v>1154.3340949999999</v>
      </c>
      <c r="J1614">
        <v>153.66590540000001</v>
      </c>
      <c r="K1614" s="5">
        <f>IF(Table1[[#This Row],[Revenue]]=0, 0, Table1[[#This Row],[Profit]]/Table1[[#This Row],[Revenue]])</f>
        <v>0.11748157905198778</v>
      </c>
    </row>
    <row r="1615" spans="1:11" x14ac:dyDescent="0.35">
      <c r="A1615" s="1">
        <v>45479</v>
      </c>
      <c r="B1615" s="3" t="s">
        <v>20</v>
      </c>
      <c r="C1615" s="3" t="s">
        <v>17</v>
      </c>
      <c r="D1615" s="3" t="s">
        <v>15</v>
      </c>
      <c r="E1615" s="4">
        <v>10</v>
      </c>
      <c r="F1615" s="4">
        <v>148</v>
      </c>
      <c r="G1615" s="3" t="s">
        <v>19</v>
      </c>
      <c r="H1615">
        <v>1480</v>
      </c>
      <c r="I1615">
        <v>1171.297067</v>
      </c>
      <c r="J1615">
        <v>308.70293249999997</v>
      </c>
      <c r="K1615" s="5">
        <f>IF(Table1[[#This Row],[Revenue]]=0, 0, Table1[[#This Row],[Profit]]/Table1[[#This Row],[Revenue]])</f>
        <v>0.20858306249999997</v>
      </c>
    </row>
    <row r="1616" spans="1:11" x14ac:dyDescent="0.35">
      <c r="A1616" s="1">
        <v>45635</v>
      </c>
      <c r="B1616" s="3" t="s">
        <v>20</v>
      </c>
      <c r="C1616" s="3" t="s">
        <v>31</v>
      </c>
      <c r="D1616" s="3" t="s">
        <v>25</v>
      </c>
      <c r="E1616" s="4">
        <v>11</v>
      </c>
      <c r="F1616" s="4">
        <v>1610</v>
      </c>
      <c r="G1616" s="3" t="s">
        <v>19</v>
      </c>
      <c r="H1616">
        <v>17710</v>
      </c>
      <c r="I1616">
        <v>15164.45355</v>
      </c>
      <c r="J1616">
        <v>2545.5464510000002</v>
      </c>
      <c r="K1616" s="5">
        <f>IF(Table1[[#This Row],[Revenue]]=0, 0, Table1[[#This Row],[Profit]]/Table1[[#This Row],[Revenue]])</f>
        <v>0.14373497747035574</v>
      </c>
    </row>
    <row r="1617" spans="1:11" x14ac:dyDescent="0.35">
      <c r="A1617" s="1">
        <v>45656</v>
      </c>
      <c r="B1617" s="3" t="s">
        <v>10</v>
      </c>
      <c r="C1617" s="3" t="s">
        <v>11</v>
      </c>
      <c r="D1617" s="3" t="s">
        <v>18</v>
      </c>
      <c r="E1617" s="4">
        <v>2</v>
      </c>
      <c r="F1617" s="4">
        <v>722</v>
      </c>
      <c r="G1617" s="3" t="s">
        <v>13</v>
      </c>
      <c r="H1617">
        <v>1444</v>
      </c>
      <c r="I1617">
        <v>1298.8614689999999</v>
      </c>
      <c r="J1617">
        <v>145.1385305</v>
      </c>
      <c r="K1617" s="5">
        <f>IF(Table1[[#This Row],[Revenue]]=0, 0, Table1[[#This Row],[Profit]]/Table1[[#This Row],[Revenue]])</f>
        <v>0.10051144771468144</v>
      </c>
    </row>
    <row r="1618" spans="1:11" x14ac:dyDescent="0.35">
      <c r="A1618" s="1">
        <v>45454</v>
      </c>
      <c r="B1618" s="3" t="s">
        <v>23</v>
      </c>
      <c r="C1618" s="3" t="s">
        <v>24</v>
      </c>
      <c r="D1618" s="3" t="s">
        <v>30</v>
      </c>
      <c r="E1618" s="4">
        <v>5</v>
      </c>
      <c r="F1618" s="4">
        <v>1444</v>
      </c>
      <c r="G1618" s="3" t="s">
        <v>19</v>
      </c>
      <c r="H1618">
        <v>7220</v>
      </c>
      <c r="I1618">
        <v>4727.6545450000003</v>
      </c>
      <c r="J1618">
        <v>2492.3454550000001</v>
      </c>
      <c r="K1618" s="5">
        <f>IF(Table1[[#This Row],[Revenue]]=0, 0, Table1[[#This Row],[Profit]]/Table1[[#This Row],[Revenue]])</f>
        <v>0.34520020152354575</v>
      </c>
    </row>
    <row r="1619" spans="1:11" x14ac:dyDescent="0.35">
      <c r="A1619" s="1">
        <v>45617</v>
      </c>
      <c r="B1619" s="3" t="s">
        <v>43</v>
      </c>
      <c r="C1619" s="3" t="s">
        <v>26</v>
      </c>
      <c r="D1619" s="3" t="s">
        <v>21</v>
      </c>
      <c r="E1619" s="4">
        <v>7</v>
      </c>
      <c r="F1619" s="4">
        <v>830</v>
      </c>
      <c r="G1619" s="3" t="s">
        <v>19</v>
      </c>
      <c r="H1619">
        <v>5810</v>
      </c>
      <c r="I1619">
        <v>4695.8919720000004</v>
      </c>
      <c r="J1619">
        <v>1114.1080280000001</v>
      </c>
      <c r="K1619" s="5">
        <f>IF(Table1[[#This Row],[Revenue]]=0, 0, Table1[[#This Row],[Profit]]/Table1[[#This Row],[Revenue]])</f>
        <v>0.1917569755593804</v>
      </c>
    </row>
    <row r="1620" spans="1:11" x14ac:dyDescent="0.35">
      <c r="A1620" s="1">
        <v>45365</v>
      </c>
      <c r="B1620" s="3" t="s">
        <v>10</v>
      </c>
      <c r="C1620" s="3" t="s">
        <v>17</v>
      </c>
      <c r="D1620" s="3" t="s">
        <v>25</v>
      </c>
      <c r="E1620" s="4">
        <v>6</v>
      </c>
      <c r="F1620" s="4">
        <v>1692</v>
      </c>
      <c r="G1620" s="3" t="s">
        <v>19</v>
      </c>
      <c r="H1620">
        <v>10152</v>
      </c>
      <c r="I1620">
        <v>8792.6054559999993</v>
      </c>
      <c r="J1620">
        <v>1359.394544</v>
      </c>
      <c r="K1620" s="5">
        <f>IF(Table1[[#This Row],[Revenue]]=0, 0, Table1[[#This Row],[Profit]]/Table1[[#This Row],[Revenue]])</f>
        <v>0.13390411189913318</v>
      </c>
    </row>
    <row r="1621" spans="1:11" x14ac:dyDescent="0.35">
      <c r="A1621" s="1">
        <v>45524</v>
      </c>
      <c r="B1621" s="3" t="s">
        <v>10</v>
      </c>
      <c r="C1621" s="3" t="s">
        <v>11</v>
      </c>
      <c r="D1621" s="3" t="s">
        <v>29</v>
      </c>
      <c r="E1621" s="4">
        <v>3</v>
      </c>
      <c r="F1621" s="4">
        <v>894</v>
      </c>
      <c r="G1621" s="3" t="s">
        <v>13</v>
      </c>
      <c r="H1621">
        <v>2682</v>
      </c>
      <c r="I1621">
        <v>2072.5998490000002</v>
      </c>
      <c r="J1621">
        <v>609.4001505</v>
      </c>
      <c r="K1621" s="5">
        <f>IF(Table1[[#This Row],[Revenue]]=0, 0, Table1[[#This Row],[Profit]]/Table1[[#This Row],[Revenue]])</f>
        <v>0.22721854977628636</v>
      </c>
    </row>
    <row r="1622" spans="1:11" x14ac:dyDescent="0.35">
      <c r="A1622" s="1">
        <v>45515</v>
      </c>
      <c r="B1622" s="3" t="s">
        <v>42</v>
      </c>
      <c r="C1622" s="3" t="s">
        <v>14</v>
      </c>
      <c r="D1622" s="3" t="s">
        <v>18</v>
      </c>
      <c r="E1622" s="4">
        <v>13</v>
      </c>
      <c r="F1622" s="4">
        <v>1070</v>
      </c>
      <c r="G1622" s="3" t="s">
        <v>16</v>
      </c>
      <c r="H1622">
        <v>13910</v>
      </c>
      <c r="I1622">
        <v>11015.45299</v>
      </c>
      <c r="J1622">
        <v>2894.5470129999999</v>
      </c>
      <c r="K1622" s="5">
        <f>IF(Table1[[#This Row],[Revenue]]=0, 0, Table1[[#This Row],[Profit]]/Table1[[#This Row],[Revenue]])</f>
        <v>0.2080910864845435</v>
      </c>
    </row>
    <row r="1623" spans="1:11" x14ac:dyDescent="0.35">
      <c r="A1623" s="1">
        <v>45610</v>
      </c>
      <c r="B1623" s="3" t="s">
        <v>10</v>
      </c>
      <c r="C1623" s="3" t="s">
        <v>28</v>
      </c>
      <c r="D1623" s="3" t="s">
        <v>29</v>
      </c>
      <c r="E1623" s="4">
        <v>3</v>
      </c>
      <c r="F1623" s="4">
        <v>1748</v>
      </c>
      <c r="G1623" s="3" t="s">
        <v>16</v>
      </c>
      <c r="H1623">
        <v>5244</v>
      </c>
      <c r="I1623">
        <v>3787.7481579999999</v>
      </c>
      <c r="J1623">
        <v>1456.2518419999999</v>
      </c>
      <c r="K1623" s="5">
        <f>IF(Table1[[#This Row],[Revenue]]=0, 0, Table1[[#This Row],[Profit]]/Table1[[#This Row],[Revenue]])</f>
        <v>0.27769867315026697</v>
      </c>
    </row>
    <row r="1624" spans="1:11" x14ac:dyDescent="0.35">
      <c r="A1624" s="1">
        <v>45351</v>
      </c>
      <c r="B1624" s="3" t="s">
        <v>10</v>
      </c>
      <c r="C1624" s="3" t="s">
        <v>11</v>
      </c>
      <c r="D1624" s="3" t="s">
        <v>32</v>
      </c>
      <c r="E1624" s="4">
        <v>6</v>
      </c>
      <c r="F1624" s="4">
        <v>232</v>
      </c>
      <c r="G1624" s="3" t="s">
        <v>13</v>
      </c>
      <c r="H1624">
        <v>1392</v>
      </c>
      <c r="I1624">
        <v>1116.9801239999999</v>
      </c>
      <c r="J1624">
        <v>275.01987580000002</v>
      </c>
      <c r="K1624" s="5">
        <f>IF(Table1[[#This Row],[Revenue]]=0, 0, Table1[[#This Row],[Profit]]/Table1[[#This Row],[Revenue]])</f>
        <v>0.19757174985632187</v>
      </c>
    </row>
    <row r="1625" spans="1:11" x14ac:dyDescent="0.35">
      <c r="A1625" s="1">
        <v>45626</v>
      </c>
      <c r="B1625" s="3" t="s">
        <v>10</v>
      </c>
      <c r="C1625" s="3" t="s">
        <v>14</v>
      </c>
      <c r="D1625" s="3" t="s">
        <v>15</v>
      </c>
      <c r="E1625" s="4">
        <v>11</v>
      </c>
      <c r="F1625" s="4">
        <v>1706</v>
      </c>
      <c r="G1625" s="3" t="s">
        <v>16</v>
      </c>
      <c r="H1625">
        <v>18766</v>
      </c>
      <c r="I1625">
        <v>13486.624540000001</v>
      </c>
      <c r="J1625">
        <v>5279.3754559999998</v>
      </c>
      <c r="K1625" s="5">
        <f>IF(Table1[[#This Row],[Revenue]]=0, 0, Table1[[#This Row],[Profit]]/Table1[[#This Row],[Revenue]])</f>
        <v>0.2813266255994884</v>
      </c>
    </row>
    <row r="1626" spans="1:11" x14ac:dyDescent="0.35">
      <c r="A1626" s="1">
        <v>45513</v>
      </c>
      <c r="B1626" s="3" t="s">
        <v>20</v>
      </c>
      <c r="C1626" s="3" t="s">
        <v>26</v>
      </c>
      <c r="D1626" s="3" t="s">
        <v>21</v>
      </c>
      <c r="E1626" s="4">
        <v>17</v>
      </c>
      <c r="F1626" s="4">
        <v>182</v>
      </c>
      <c r="G1626" s="3" t="s">
        <v>19</v>
      </c>
      <c r="H1626">
        <v>3094</v>
      </c>
      <c r="I1626">
        <v>2298.7983479999998</v>
      </c>
      <c r="J1626">
        <v>795.2016519</v>
      </c>
      <c r="K1626" s="5">
        <f>IF(Table1[[#This Row],[Revenue]]=0, 0, Table1[[#This Row],[Profit]]/Table1[[#This Row],[Revenue]])</f>
        <v>0.25701410856496443</v>
      </c>
    </row>
    <row r="1627" spans="1:11" x14ac:dyDescent="0.35">
      <c r="A1627" s="1">
        <v>45328</v>
      </c>
      <c r="B1627" s="3" t="s">
        <v>23</v>
      </c>
      <c r="C1627" s="3" t="s">
        <v>11</v>
      </c>
      <c r="D1627" s="3" t="s">
        <v>29</v>
      </c>
      <c r="E1627" s="4">
        <v>10</v>
      </c>
      <c r="F1627" s="4">
        <v>156</v>
      </c>
      <c r="G1627" s="3" t="s">
        <v>13</v>
      </c>
      <c r="H1627">
        <v>1560</v>
      </c>
      <c r="I1627">
        <v>984.16269550000004</v>
      </c>
      <c r="J1627">
        <v>575.83730449999996</v>
      </c>
      <c r="K1627" s="5">
        <f>IF(Table1[[#This Row],[Revenue]]=0, 0, Table1[[#This Row],[Profit]]/Table1[[#This Row],[Revenue]])</f>
        <v>0.36912647724358971</v>
      </c>
    </row>
    <row r="1628" spans="1:11" x14ac:dyDescent="0.35">
      <c r="A1628" s="1">
        <v>45569</v>
      </c>
      <c r="B1628" s="3" t="s">
        <v>10</v>
      </c>
      <c r="C1628" s="3" t="s">
        <v>14</v>
      </c>
      <c r="D1628" s="3" t="s">
        <v>30</v>
      </c>
      <c r="E1628" s="4">
        <v>12</v>
      </c>
      <c r="F1628" s="4">
        <v>475</v>
      </c>
      <c r="G1628" s="3" t="s">
        <v>16</v>
      </c>
      <c r="H1628">
        <v>5700</v>
      </c>
      <c r="I1628">
        <v>3433.3523639999999</v>
      </c>
      <c r="J1628">
        <v>2266.6476360000001</v>
      </c>
      <c r="K1628" s="5">
        <f>IF(Table1[[#This Row],[Revenue]]=0, 0, Table1[[#This Row],[Profit]]/Table1[[#This Row],[Revenue]])</f>
        <v>0.39765748000000001</v>
      </c>
    </row>
    <row r="1629" spans="1:11" x14ac:dyDescent="0.35">
      <c r="A1629" s="1">
        <v>45487</v>
      </c>
      <c r="B1629" s="3" t="s">
        <v>27</v>
      </c>
      <c r="C1629" s="3" t="s">
        <v>11</v>
      </c>
      <c r="D1629" s="3" t="s">
        <v>32</v>
      </c>
      <c r="E1629" s="4">
        <v>17</v>
      </c>
      <c r="F1629" s="4">
        <v>448</v>
      </c>
      <c r="G1629" s="3" t="s">
        <v>13</v>
      </c>
      <c r="H1629">
        <v>7616</v>
      </c>
      <c r="I1629">
        <v>4695.6092879999997</v>
      </c>
      <c r="J1629">
        <v>2920.3907119999999</v>
      </c>
      <c r="K1629" s="5">
        <f>IF(Table1[[#This Row],[Revenue]]=0, 0, Table1[[#This Row],[Profit]]/Table1[[#This Row],[Revenue]])</f>
        <v>0.38345466281512602</v>
      </c>
    </row>
    <row r="1630" spans="1:11" x14ac:dyDescent="0.35">
      <c r="A1630" s="1">
        <v>45643</v>
      </c>
      <c r="B1630" s="3" t="s">
        <v>20</v>
      </c>
      <c r="C1630" s="3" t="s">
        <v>11</v>
      </c>
      <c r="D1630" s="3" t="s">
        <v>32</v>
      </c>
      <c r="E1630" s="4">
        <v>4</v>
      </c>
      <c r="F1630" s="4">
        <v>370</v>
      </c>
      <c r="G1630" s="3" t="s">
        <v>13</v>
      </c>
      <c r="H1630">
        <v>1480</v>
      </c>
      <c r="I1630">
        <v>973.47960860000001</v>
      </c>
      <c r="J1630">
        <v>506.52039139999999</v>
      </c>
      <c r="K1630" s="5">
        <f>IF(Table1[[#This Row],[Revenue]]=0, 0, Table1[[#This Row],[Profit]]/Table1[[#This Row],[Revenue]])</f>
        <v>0.34224350770270268</v>
      </c>
    </row>
    <row r="1631" spans="1:11" x14ac:dyDescent="0.35">
      <c r="A1631" s="1">
        <v>45533</v>
      </c>
      <c r="B1631" s="3" t="s">
        <v>20</v>
      </c>
      <c r="C1631" s="3" t="s">
        <v>28</v>
      </c>
      <c r="D1631" s="3" t="s">
        <v>21</v>
      </c>
      <c r="E1631" s="4">
        <v>2</v>
      </c>
      <c r="F1631" s="4">
        <v>1606</v>
      </c>
      <c r="G1631" s="3" t="s">
        <v>16</v>
      </c>
      <c r="H1631">
        <v>3212</v>
      </c>
      <c r="I1631">
        <v>2367.1834410000001</v>
      </c>
      <c r="J1631">
        <v>844.81655939999996</v>
      </c>
      <c r="K1631" s="5">
        <f>IF(Table1[[#This Row],[Revenue]]=0, 0, Table1[[#This Row],[Profit]]/Table1[[#This Row],[Revenue]])</f>
        <v>0.26301885410958903</v>
      </c>
    </row>
    <row r="1632" spans="1:11" x14ac:dyDescent="0.35">
      <c r="A1632" s="1">
        <v>45615</v>
      </c>
      <c r="B1632" s="3" t="s">
        <v>10</v>
      </c>
      <c r="C1632" s="3" t="s">
        <v>14</v>
      </c>
      <c r="D1632" s="3" t="s">
        <v>32</v>
      </c>
      <c r="E1632" s="4">
        <v>11</v>
      </c>
      <c r="F1632" s="4">
        <v>210</v>
      </c>
      <c r="G1632" s="3" t="s">
        <v>16</v>
      </c>
      <c r="H1632">
        <v>2310</v>
      </c>
      <c r="I1632">
        <v>1400.5488909999999</v>
      </c>
      <c r="J1632">
        <v>909.45110890000001</v>
      </c>
      <c r="K1632" s="5">
        <f>IF(Table1[[#This Row],[Revenue]]=0, 0, Table1[[#This Row],[Profit]]/Table1[[#This Row],[Revenue]])</f>
        <v>0.39370177874458873</v>
      </c>
    </row>
    <row r="1633" spans="1:11" x14ac:dyDescent="0.35">
      <c r="A1633" s="1">
        <v>45510</v>
      </c>
      <c r="B1633" s="3" t="s">
        <v>20</v>
      </c>
      <c r="C1633" s="3" t="s">
        <v>14</v>
      </c>
      <c r="D1633" s="3" t="s">
        <v>30</v>
      </c>
      <c r="E1633" s="4">
        <v>7</v>
      </c>
      <c r="F1633" s="4">
        <v>968</v>
      </c>
      <c r="G1633" s="3" t="s">
        <v>16</v>
      </c>
      <c r="H1633">
        <v>6776</v>
      </c>
      <c r="I1633">
        <v>4382.5879999999997</v>
      </c>
      <c r="J1633">
        <v>2393.4119999999998</v>
      </c>
      <c r="K1633" s="5">
        <f>IF(Table1[[#This Row],[Revenue]]=0, 0, Table1[[#This Row],[Profit]]/Table1[[#This Row],[Revenue]])</f>
        <v>0.35321900826446279</v>
      </c>
    </row>
    <row r="1634" spans="1:11" x14ac:dyDescent="0.35">
      <c r="A1634" s="1">
        <v>45483</v>
      </c>
      <c r="B1634" s="3" t="s">
        <v>10</v>
      </c>
      <c r="C1634" s="3" t="s">
        <v>17</v>
      </c>
      <c r="D1634" s="3" t="s">
        <v>29</v>
      </c>
      <c r="E1634" s="4">
        <v>2</v>
      </c>
      <c r="F1634" s="4">
        <v>986</v>
      </c>
      <c r="G1634" s="3" t="s">
        <v>19</v>
      </c>
      <c r="H1634">
        <v>1972</v>
      </c>
      <c r="I1634">
        <v>1645.502628</v>
      </c>
      <c r="J1634">
        <v>326.49737229999999</v>
      </c>
      <c r="K1634" s="5">
        <f>IF(Table1[[#This Row],[Revenue]]=0, 0, Table1[[#This Row],[Profit]]/Table1[[#This Row],[Revenue]])</f>
        <v>0.16556661881338741</v>
      </c>
    </row>
    <row r="1635" spans="1:11" x14ac:dyDescent="0.35">
      <c r="A1635" s="1">
        <v>45308</v>
      </c>
      <c r="B1635" s="3" t="s">
        <v>23</v>
      </c>
      <c r="C1635" s="3" t="s">
        <v>26</v>
      </c>
      <c r="D1635" s="3" t="s">
        <v>21</v>
      </c>
      <c r="E1635" s="4">
        <v>18</v>
      </c>
      <c r="F1635" s="4">
        <v>175</v>
      </c>
      <c r="G1635" s="3" t="s">
        <v>19</v>
      </c>
      <c r="H1635">
        <v>3150</v>
      </c>
      <c r="I1635">
        <v>2610.247398</v>
      </c>
      <c r="J1635">
        <v>539.7526024</v>
      </c>
      <c r="K1635" s="5">
        <f>IF(Table1[[#This Row],[Revenue]]=0, 0, Table1[[#This Row],[Profit]]/Table1[[#This Row],[Revenue]])</f>
        <v>0.17135003250793651</v>
      </c>
    </row>
    <row r="1636" spans="1:11" x14ac:dyDescent="0.35">
      <c r="A1636" s="1">
        <v>45303</v>
      </c>
      <c r="B1636" s="3" t="s">
        <v>23</v>
      </c>
      <c r="C1636" s="3" t="s">
        <v>28</v>
      </c>
      <c r="D1636" s="3" t="s">
        <v>12</v>
      </c>
      <c r="E1636" s="4">
        <v>4</v>
      </c>
      <c r="F1636" s="4">
        <v>1281</v>
      </c>
      <c r="G1636" s="3" t="s">
        <v>16</v>
      </c>
      <c r="H1636">
        <v>5124</v>
      </c>
      <c r="I1636">
        <v>4288.3734039999999</v>
      </c>
      <c r="J1636">
        <v>835.62659559999997</v>
      </c>
      <c r="K1636" s="5">
        <f>IF(Table1[[#This Row],[Revenue]]=0, 0, Table1[[#This Row],[Profit]]/Table1[[#This Row],[Revenue]])</f>
        <v>0.16308091249024198</v>
      </c>
    </row>
    <row r="1637" spans="1:11" x14ac:dyDescent="0.35">
      <c r="A1637" s="1">
        <v>45484</v>
      </c>
      <c r="B1637" s="3" t="s">
        <v>20</v>
      </c>
      <c r="C1637" s="3" t="s">
        <v>11</v>
      </c>
      <c r="D1637" s="3" t="s">
        <v>32</v>
      </c>
      <c r="E1637" s="4">
        <v>8</v>
      </c>
      <c r="F1637" s="4">
        <v>1655</v>
      </c>
      <c r="G1637" s="3" t="s">
        <v>13</v>
      </c>
      <c r="H1637">
        <v>13240</v>
      </c>
      <c r="I1637">
        <v>11604.360629999999</v>
      </c>
      <c r="J1637">
        <v>1635.6393740000001</v>
      </c>
      <c r="K1637" s="5">
        <f>IF(Table1[[#This Row],[Revenue]]=0, 0, Table1[[#This Row],[Profit]]/Table1[[#This Row],[Revenue]])</f>
        <v>0.12353771706948641</v>
      </c>
    </row>
    <row r="1638" spans="1:11" x14ac:dyDescent="0.35">
      <c r="A1638" s="1">
        <v>45313</v>
      </c>
      <c r="B1638" s="3" t="s">
        <v>20</v>
      </c>
      <c r="C1638" s="3" t="s">
        <v>11</v>
      </c>
      <c r="D1638" s="3" t="s">
        <v>32</v>
      </c>
      <c r="E1638" s="4">
        <v>14</v>
      </c>
      <c r="F1638" s="4">
        <v>1766</v>
      </c>
      <c r="G1638" s="3" t="s">
        <v>13</v>
      </c>
      <c r="H1638">
        <v>24724</v>
      </c>
      <c r="I1638">
        <v>15717.57343</v>
      </c>
      <c r="J1638">
        <v>9006.4265730000006</v>
      </c>
      <c r="K1638" s="5">
        <f>IF(Table1[[#This Row],[Revenue]]=0, 0, Table1[[#This Row],[Profit]]/Table1[[#This Row],[Revenue]])</f>
        <v>0.36427869976541016</v>
      </c>
    </row>
    <row r="1639" spans="1:11" x14ac:dyDescent="0.35">
      <c r="A1639" s="1">
        <v>45411</v>
      </c>
      <c r="B1639" s="3" t="s">
        <v>27</v>
      </c>
      <c r="C1639" s="3" t="s">
        <v>17</v>
      </c>
      <c r="D1639" s="3" t="s">
        <v>30</v>
      </c>
      <c r="E1639" s="4">
        <v>12</v>
      </c>
      <c r="F1639" s="4">
        <v>428</v>
      </c>
      <c r="G1639" s="3" t="s">
        <v>19</v>
      </c>
      <c r="H1639">
        <v>5136</v>
      </c>
      <c r="I1639">
        <v>3332.965921</v>
      </c>
      <c r="J1639">
        <v>1803.034079</v>
      </c>
      <c r="K1639" s="5">
        <f>IF(Table1[[#This Row],[Revenue]]=0, 0, Table1[[#This Row],[Profit]]/Table1[[#This Row],[Revenue]])</f>
        <v>0.3510580371884735</v>
      </c>
    </row>
    <row r="1640" spans="1:11" x14ac:dyDescent="0.35">
      <c r="A1640" s="1">
        <v>45501</v>
      </c>
      <c r="B1640" s="3" t="s">
        <v>20</v>
      </c>
      <c r="C1640" s="3" t="s">
        <v>26</v>
      </c>
      <c r="D1640" s="3" t="s">
        <v>15</v>
      </c>
      <c r="E1640" s="4">
        <v>18</v>
      </c>
      <c r="F1640" s="4">
        <v>221</v>
      </c>
      <c r="G1640" s="3" t="s">
        <v>19</v>
      </c>
      <c r="H1640">
        <v>3978</v>
      </c>
      <c r="I1640">
        <v>2784.8628840000001</v>
      </c>
      <c r="J1640">
        <v>1193.1371160000001</v>
      </c>
      <c r="K1640" s="5">
        <f>IF(Table1[[#This Row],[Revenue]]=0, 0, Table1[[#This Row],[Profit]]/Table1[[#This Row],[Revenue]])</f>
        <v>0.29993391553544496</v>
      </c>
    </row>
    <row r="1641" spans="1:11" x14ac:dyDescent="0.35">
      <c r="A1641" s="1">
        <v>45561</v>
      </c>
      <c r="B1641" s="3" t="s">
        <v>23</v>
      </c>
      <c r="C1641" s="3" t="s">
        <v>28</v>
      </c>
      <c r="D1641" s="3" t="s">
        <v>25</v>
      </c>
      <c r="E1641" s="4">
        <v>8</v>
      </c>
      <c r="F1641" s="4">
        <v>1290</v>
      </c>
      <c r="G1641" s="3" t="s">
        <v>16</v>
      </c>
      <c r="H1641">
        <v>10320</v>
      </c>
      <c r="I1641">
        <v>8592.8790919999992</v>
      </c>
      <c r="J1641">
        <v>1727.1209080000001</v>
      </c>
      <c r="K1641" s="5">
        <f>IF(Table1[[#This Row],[Revenue]]=0, 0, Table1[[#This Row],[Profit]]/Table1[[#This Row],[Revenue]])</f>
        <v>0.16735667713178295</v>
      </c>
    </row>
    <row r="1642" spans="1:11" x14ac:dyDescent="0.35">
      <c r="A1642" s="1">
        <v>45483</v>
      </c>
      <c r="B1642" s="3" t="s">
        <v>23</v>
      </c>
      <c r="C1642" s="3" t="s">
        <v>17</v>
      </c>
      <c r="D1642" s="3" t="s">
        <v>32</v>
      </c>
      <c r="E1642" s="4">
        <v>2</v>
      </c>
      <c r="F1642" s="4">
        <v>1021</v>
      </c>
      <c r="G1642" s="3" t="s">
        <v>19</v>
      </c>
      <c r="H1642">
        <v>2042</v>
      </c>
      <c r="I1642">
        <v>1423.756691</v>
      </c>
      <c r="J1642">
        <v>618.24330859999998</v>
      </c>
      <c r="K1642" s="5">
        <f>IF(Table1[[#This Row],[Revenue]]=0, 0, Table1[[#This Row],[Profit]]/Table1[[#This Row],[Revenue]])</f>
        <v>0.30276361831537707</v>
      </c>
    </row>
    <row r="1643" spans="1:11" x14ac:dyDescent="0.35">
      <c r="A1643" s="1">
        <v>45466</v>
      </c>
      <c r="B1643" s="3" t="s">
        <v>10</v>
      </c>
      <c r="C1643" s="3" t="s">
        <v>26</v>
      </c>
      <c r="D1643" s="3" t="s">
        <v>12</v>
      </c>
      <c r="E1643" s="4">
        <v>15</v>
      </c>
      <c r="F1643" s="4">
        <v>741</v>
      </c>
      <c r="G1643" s="3" t="s">
        <v>19</v>
      </c>
      <c r="H1643">
        <v>11115</v>
      </c>
      <c r="I1643">
        <v>6961.2216340000004</v>
      </c>
      <c r="J1643">
        <v>4153.7783659999996</v>
      </c>
      <c r="K1643" s="5">
        <f>IF(Table1[[#This Row],[Revenue]]=0, 0, Table1[[#This Row],[Profit]]/Table1[[#This Row],[Revenue]])</f>
        <v>0.37370925470085464</v>
      </c>
    </row>
    <row r="1644" spans="1:11" x14ac:dyDescent="0.35">
      <c r="A1644" s="1">
        <v>45576</v>
      </c>
      <c r="B1644" s="3" t="s">
        <v>23</v>
      </c>
      <c r="C1644" s="3" t="s">
        <v>28</v>
      </c>
      <c r="D1644" s="3" t="s">
        <v>29</v>
      </c>
      <c r="E1644" s="4">
        <v>9</v>
      </c>
      <c r="F1644" s="4">
        <v>1146</v>
      </c>
      <c r="G1644" s="3" t="s">
        <v>16</v>
      </c>
      <c r="H1644">
        <v>10314</v>
      </c>
      <c r="I1644">
        <v>8095.6030769999998</v>
      </c>
      <c r="J1644">
        <v>2218.3969229999998</v>
      </c>
      <c r="K1644" s="5">
        <f>IF(Table1[[#This Row],[Revenue]]=0, 0, Table1[[#This Row],[Profit]]/Table1[[#This Row],[Revenue]])</f>
        <v>0.21508599214659685</v>
      </c>
    </row>
    <row r="1645" spans="1:11" x14ac:dyDescent="0.35">
      <c r="A1645" s="1">
        <v>45495</v>
      </c>
      <c r="B1645" s="3" t="s">
        <v>27</v>
      </c>
      <c r="C1645" s="3" t="s">
        <v>11</v>
      </c>
      <c r="D1645" s="3" t="s">
        <v>21</v>
      </c>
      <c r="E1645" s="4">
        <v>19</v>
      </c>
      <c r="F1645" s="4">
        <v>378</v>
      </c>
      <c r="G1645" s="3" t="s">
        <v>13</v>
      </c>
      <c r="H1645">
        <v>7182</v>
      </c>
      <c r="I1645">
        <v>4862.5425750000004</v>
      </c>
      <c r="J1645">
        <v>2319.4574250000001</v>
      </c>
      <c r="K1645" s="5">
        <f>IF(Table1[[#This Row],[Revenue]]=0, 0, Table1[[#This Row],[Profit]]/Table1[[#This Row],[Revenue]])</f>
        <v>0.32295425020885549</v>
      </c>
    </row>
    <row r="1646" spans="1:11" x14ac:dyDescent="0.35">
      <c r="A1646" s="1">
        <v>45455</v>
      </c>
      <c r="B1646" s="3" t="s">
        <v>20</v>
      </c>
      <c r="C1646" s="3" t="s">
        <v>26</v>
      </c>
      <c r="D1646" s="3" t="s">
        <v>32</v>
      </c>
      <c r="E1646" s="4">
        <v>8</v>
      </c>
      <c r="F1646" s="4">
        <v>862</v>
      </c>
      <c r="G1646" s="3" t="s">
        <v>19</v>
      </c>
      <c r="H1646">
        <v>6896</v>
      </c>
      <c r="I1646">
        <v>5236.4484279999997</v>
      </c>
      <c r="J1646">
        <v>1659.5515720000001</v>
      </c>
      <c r="K1646" s="5">
        <f>IF(Table1[[#This Row],[Revenue]]=0, 0, Table1[[#This Row],[Profit]]/Table1[[#This Row],[Revenue]])</f>
        <v>0.24065423027842228</v>
      </c>
    </row>
    <row r="1647" spans="1:11" x14ac:dyDescent="0.35">
      <c r="A1647" s="1">
        <v>45542</v>
      </c>
      <c r="B1647" s="3" t="s">
        <v>10</v>
      </c>
      <c r="C1647" s="3" t="s">
        <v>26</v>
      </c>
      <c r="D1647" s="3" t="s">
        <v>18</v>
      </c>
      <c r="E1647" s="4">
        <v>19</v>
      </c>
      <c r="F1647" s="4">
        <v>568</v>
      </c>
      <c r="G1647" s="3" t="s">
        <v>19</v>
      </c>
      <c r="H1647">
        <v>10792</v>
      </c>
      <c r="I1647">
        <v>9524.3825570000008</v>
      </c>
      <c r="J1647">
        <v>1267.6174430000001</v>
      </c>
      <c r="K1647" s="5">
        <f>IF(Table1[[#This Row],[Revenue]]=0, 0, Table1[[#This Row],[Profit]]/Table1[[#This Row],[Revenue]])</f>
        <v>0.11745899212379542</v>
      </c>
    </row>
    <row r="1648" spans="1:11" x14ac:dyDescent="0.35">
      <c r="A1648" s="1">
        <v>45518</v>
      </c>
      <c r="B1648" s="3" t="s">
        <v>27</v>
      </c>
      <c r="C1648" s="3" t="s">
        <v>24</v>
      </c>
      <c r="D1648" s="3" t="s">
        <v>21</v>
      </c>
      <c r="E1648" s="4">
        <v>5</v>
      </c>
      <c r="F1648" s="4">
        <v>1523</v>
      </c>
      <c r="G1648" s="3" t="s">
        <v>19</v>
      </c>
      <c r="H1648">
        <v>7615</v>
      </c>
      <c r="I1648">
        <v>5877.1440970000003</v>
      </c>
      <c r="J1648">
        <v>1737.8559029999999</v>
      </c>
      <c r="K1648" s="5">
        <f>IF(Table1[[#This Row],[Revenue]]=0, 0, Table1[[#This Row],[Profit]]/Table1[[#This Row],[Revenue]])</f>
        <v>0.22821482639527246</v>
      </c>
    </row>
    <row r="1649" spans="1:11" x14ac:dyDescent="0.35">
      <c r="A1649" s="1">
        <v>45298</v>
      </c>
      <c r="B1649" s="3" t="s">
        <v>43</v>
      </c>
      <c r="C1649" s="3" t="s">
        <v>43</v>
      </c>
      <c r="D1649" s="3" t="s">
        <v>25</v>
      </c>
      <c r="E1649" s="4">
        <v>11</v>
      </c>
      <c r="F1649" s="4">
        <v>108</v>
      </c>
      <c r="G1649" s="3" t="s">
        <v>19</v>
      </c>
      <c r="H1649">
        <v>1188</v>
      </c>
      <c r="I1649">
        <v>1042.0545930000001</v>
      </c>
      <c r="J1649">
        <v>145.94540689999999</v>
      </c>
      <c r="K1649" s="5">
        <f>IF(Table1[[#This Row],[Revenue]]=0, 0, Table1[[#This Row],[Profit]]/Table1[[#This Row],[Revenue]])</f>
        <v>0.1228496691077441</v>
      </c>
    </row>
    <row r="1650" spans="1:11" x14ac:dyDescent="0.35">
      <c r="A1650" s="1">
        <v>45320</v>
      </c>
      <c r="B1650" s="3" t="s">
        <v>10</v>
      </c>
      <c r="C1650" s="3" t="s">
        <v>31</v>
      </c>
      <c r="D1650" s="3" t="s">
        <v>15</v>
      </c>
      <c r="E1650" s="4">
        <v>15</v>
      </c>
      <c r="F1650" s="4">
        <v>112</v>
      </c>
      <c r="G1650" s="3" t="s">
        <v>19</v>
      </c>
      <c r="H1650">
        <v>1680</v>
      </c>
      <c r="I1650">
        <v>1206.0915480000001</v>
      </c>
      <c r="J1650">
        <v>473.90845189999999</v>
      </c>
      <c r="K1650" s="5">
        <f>IF(Table1[[#This Row],[Revenue]]=0, 0, Table1[[#This Row],[Profit]]/Table1[[#This Row],[Revenue]])</f>
        <v>0.28208836422619049</v>
      </c>
    </row>
    <row r="1651" spans="1:11" x14ac:dyDescent="0.35">
      <c r="A1651" s="1">
        <v>45324</v>
      </c>
      <c r="B1651" s="3" t="s">
        <v>23</v>
      </c>
      <c r="C1651" s="3" t="s">
        <v>26</v>
      </c>
      <c r="D1651" s="3" t="s">
        <v>12</v>
      </c>
      <c r="E1651" s="4">
        <v>8</v>
      </c>
      <c r="F1651" s="4">
        <v>1023</v>
      </c>
      <c r="G1651" s="3" t="s">
        <v>19</v>
      </c>
      <c r="H1651">
        <v>8184</v>
      </c>
      <c r="I1651">
        <v>6465.4042030000001</v>
      </c>
      <c r="J1651">
        <v>1718.5957969999999</v>
      </c>
      <c r="K1651" s="5">
        <f>IF(Table1[[#This Row],[Revenue]]=0, 0, Table1[[#This Row],[Profit]]/Table1[[#This Row],[Revenue]])</f>
        <v>0.20999459885141739</v>
      </c>
    </row>
    <row r="1652" spans="1:11" x14ac:dyDescent="0.35">
      <c r="A1652" s="1">
        <v>45425</v>
      </c>
      <c r="B1652" s="3" t="s">
        <v>27</v>
      </c>
      <c r="C1652" s="3" t="s">
        <v>31</v>
      </c>
      <c r="D1652" s="3" t="s">
        <v>32</v>
      </c>
      <c r="E1652" s="4">
        <v>19</v>
      </c>
      <c r="F1652" s="4">
        <v>1022</v>
      </c>
      <c r="G1652" s="3" t="s">
        <v>19</v>
      </c>
      <c r="H1652">
        <v>19418</v>
      </c>
      <c r="I1652">
        <v>16858.066650000001</v>
      </c>
      <c r="J1652">
        <v>2559.9333459999998</v>
      </c>
      <c r="K1652" s="5">
        <f>IF(Table1[[#This Row],[Revenue]]=0, 0, Table1[[#This Row],[Profit]]/Table1[[#This Row],[Revenue]])</f>
        <v>0.13183300782778865</v>
      </c>
    </row>
    <row r="1653" spans="1:11" x14ac:dyDescent="0.35">
      <c r="A1653" s="1">
        <v>45370</v>
      </c>
      <c r="B1653" s="3" t="s">
        <v>43</v>
      </c>
      <c r="C1653" s="3" t="s">
        <v>11</v>
      </c>
      <c r="D1653" s="3" t="s">
        <v>30</v>
      </c>
      <c r="E1653" s="4">
        <v>8</v>
      </c>
      <c r="F1653" s="4">
        <v>1942</v>
      </c>
      <c r="G1653" s="3" t="s">
        <v>13</v>
      </c>
      <c r="H1653">
        <v>15536</v>
      </c>
      <c r="I1653">
        <v>12062.091259999999</v>
      </c>
      <c r="J1653">
        <v>3473.9087380000001</v>
      </c>
      <c r="K1653" s="5">
        <f>IF(Table1[[#This Row],[Revenue]]=0, 0, Table1[[#This Row],[Profit]]/Table1[[#This Row],[Revenue]])</f>
        <v>0.22360380651390319</v>
      </c>
    </row>
    <row r="1654" spans="1:11" x14ac:dyDescent="0.35">
      <c r="A1654" s="1">
        <v>45349</v>
      </c>
      <c r="B1654" s="3" t="s">
        <v>10</v>
      </c>
      <c r="C1654" s="3" t="s">
        <v>31</v>
      </c>
      <c r="D1654" s="3" t="s">
        <v>18</v>
      </c>
      <c r="E1654" s="4">
        <v>19</v>
      </c>
      <c r="F1654" s="4">
        <v>1955</v>
      </c>
      <c r="G1654" s="3" t="s">
        <v>19</v>
      </c>
      <c r="H1654">
        <v>37145</v>
      </c>
      <c r="I1654">
        <v>29139.12341</v>
      </c>
      <c r="J1654">
        <v>8005.876593</v>
      </c>
      <c r="K1654" s="5">
        <f>IF(Table1[[#This Row],[Revenue]]=0, 0, Table1[[#This Row],[Profit]]/Table1[[#This Row],[Revenue]])</f>
        <v>0.21553039690402476</v>
      </c>
    </row>
    <row r="1655" spans="1:11" x14ac:dyDescent="0.35">
      <c r="A1655" s="1">
        <v>45317</v>
      </c>
      <c r="B1655" s="3" t="s">
        <v>10</v>
      </c>
      <c r="C1655" s="3" t="s">
        <v>28</v>
      </c>
      <c r="D1655" s="3" t="s">
        <v>32</v>
      </c>
      <c r="E1655" s="4">
        <v>18</v>
      </c>
      <c r="F1655" s="4">
        <v>1175</v>
      </c>
      <c r="G1655" s="3" t="s">
        <v>16</v>
      </c>
      <c r="H1655">
        <v>21150</v>
      </c>
      <c r="I1655">
        <v>17234.974149999998</v>
      </c>
      <c r="J1655">
        <v>3915.025854</v>
      </c>
      <c r="K1655" s="5">
        <f>IF(Table1[[#This Row],[Revenue]]=0, 0, Table1[[#This Row],[Profit]]/Table1[[#This Row],[Revenue]])</f>
        <v>0.18510760539007093</v>
      </c>
    </row>
    <row r="1656" spans="1:11" x14ac:dyDescent="0.35">
      <c r="A1656" s="1">
        <v>45517</v>
      </c>
      <c r="B1656" s="3" t="s">
        <v>23</v>
      </c>
      <c r="C1656" s="3" t="s">
        <v>11</v>
      </c>
      <c r="D1656" s="3" t="s">
        <v>12</v>
      </c>
      <c r="E1656" s="4">
        <v>10</v>
      </c>
      <c r="F1656" s="4">
        <v>1332</v>
      </c>
      <c r="G1656" s="3" t="s">
        <v>13</v>
      </c>
      <c r="H1656">
        <v>13320</v>
      </c>
      <c r="I1656">
        <v>11516.902599999999</v>
      </c>
      <c r="J1656">
        <v>1803.0974020000001</v>
      </c>
      <c r="K1656" s="5">
        <f>IF(Table1[[#This Row],[Revenue]]=0, 0, Table1[[#This Row],[Profit]]/Table1[[#This Row],[Revenue]])</f>
        <v>0.13536767282282283</v>
      </c>
    </row>
    <row r="1657" spans="1:11" x14ac:dyDescent="0.35">
      <c r="A1657" s="1">
        <v>45576</v>
      </c>
      <c r="B1657" s="3" t="s">
        <v>20</v>
      </c>
      <c r="C1657" s="3" t="s">
        <v>11</v>
      </c>
      <c r="D1657" s="3" t="s">
        <v>25</v>
      </c>
      <c r="E1657" s="4">
        <v>7</v>
      </c>
      <c r="F1657" s="4">
        <v>1673</v>
      </c>
      <c r="G1657" s="3" t="s">
        <v>13</v>
      </c>
      <c r="H1657">
        <v>11711</v>
      </c>
      <c r="I1657">
        <v>7336.4030089999997</v>
      </c>
      <c r="J1657">
        <v>4374.5969910000003</v>
      </c>
      <c r="K1657" s="5">
        <f>IF(Table1[[#This Row],[Revenue]]=0, 0, Table1[[#This Row],[Profit]]/Table1[[#This Row],[Revenue]])</f>
        <v>0.37354598164119207</v>
      </c>
    </row>
    <row r="1658" spans="1:11" x14ac:dyDescent="0.35">
      <c r="A1658" s="1">
        <v>45295</v>
      </c>
      <c r="B1658" s="3" t="s">
        <v>23</v>
      </c>
      <c r="C1658" s="3" t="s">
        <v>31</v>
      </c>
      <c r="D1658" s="3" t="s">
        <v>29</v>
      </c>
      <c r="E1658" s="4">
        <v>9</v>
      </c>
      <c r="F1658" s="4">
        <v>1735</v>
      </c>
      <c r="G1658" s="3" t="s">
        <v>19</v>
      </c>
      <c r="H1658">
        <v>15615</v>
      </c>
      <c r="I1658">
        <v>10947.01778</v>
      </c>
      <c r="J1658">
        <v>4667.9822240000003</v>
      </c>
      <c r="K1658" s="5">
        <f>IF(Table1[[#This Row],[Revenue]]=0, 0, Table1[[#This Row],[Profit]]/Table1[[#This Row],[Revenue]])</f>
        <v>0.2989421853346142</v>
      </c>
    </row>
    <row r="1659" spans="1:11" x14ac:dyDescent="0.35">
      <c r="A1659" s="1">
        <v>45390</v>
      </c>
      <c r="B1659" s="3" t="s">
        <v>23</v>
      </c>
      <c r="C1659" s="3" t="s">
        <v>14</v>
      </c>
      <c r="D1659" s="3" t="s">
        <v>18</v>
      </c>
      <c r="E1659" s="4">
        <v>1</v>
      </c>
      <c r="F1659" s="4">
        <v>1828</v>
      </c>
      <c r="G1659" s="3" t="s">
        <v>16</v>
      </c>
      <c r="H1659">
        <v>1828</v>
      </c>
      <c r="I1659">
        <v>1314.890304</v>
      </c>
      <c r="J1659">
        <v>513.10969620000003</v>
      </c>
      <c r="K1659" s="5">
        <f>IF(Table1[[#This Row],[Revenue]]=0, 0, Table1[[#This Row],[Profit]]/Table1[[#This Row],[Revenue]])</f>
        <v>0.280694582166302</v>
      </c>
    </row>
    <row r="1660" spans="1:11" x14ac:dyDescent="0.35">
      <c r="A1660" s="1">
        <v>45330</v>
      </c>
      <c r="B1660" s="3" t="s">
        <v>20</v>
      </c>
      <c r="C1660" s="3" t="s">
        <v>17</v>
      </c>
      <c r="D1660" s="3" t="s">
        <v>25</v>
      </c>
      <c r="E1660" s="4">
        <v>19</v>
      </c>
      <c r="F1660" s="4">
        <v>1525</v>
      </c>
      <c r="G1660" s="3" t="s">
        <v>19</v>
      </c>
      <c r="H1660">
        <v>28975</v>
      </c>
      <c r="I1660">
        <v>25292.651269999998</v>
      </c>
      <c r="J1660">
        <v>3682.3487340000001</v>
      </c>
      <c r="K1660" s="5">
        <f>IF(Table1[[#This Row],[Revenue]]=0, 0, Table1[[#This Row],[Profit]]/Table1[[#This Row],[Revenue]])</f>
        <v>0.12708710039689389</v>
      </c>
    </row>
    <row r="1661" spans="1:11" x14ac:dyDescent="0.35">
      <c r="A1661" s="1">
        <v>45562</v>
      </c>
      <c r="B1661" s="3" t="s">
        <v>20</v>
      </c>
      <c r="C1661" s="3" t="s">
        <v>43</v>
      </c>
      <c r="D1661" s="3" t="s">
        <v>32</v>
      </c>
      <c r="E1661" s="4">
        <v>5</v>
      </c>
      <c r="F1661" s="4">
        <v>1314</v>
      </c>
      <c r="G1661" s="3" t="s">
        <v>13</v>
      </c>
      <c r="H1661">
        <v>6570</v>
      </c>
      <c r="I1661">
        <v>5826.2916189999996</v>
      </c>
      <c r="J1661">
        <v>743.70838079999999</v>
      </c>
      <c r="K1661" s="5">
        <f>IF(Table1[[#This Row],[Revenue]]=0, 0, Table1[[#This Row],[Profit]]/Table1[[#This Row],[Revenue]])</f>
        <v>0.11319762264840183</v>
      </c>
    </row>
    <row r="1662" spans="1:11" x14ac:dyDescent="0.35">
      <c r="A1662" s="1">
        <v>45576</v>
      </c>
      <c r="B1662" s="3" t="s">
        <v>43</v>
      </c>
      <c r="C1662" s="3" t="s">
        <v>14</v>
      </c>
      <c r="D1662" s="3" t="s">
        <v>44</v>
      </c>
      <c r="E1662" s="4">
        <v>19</v>
      </c>
      <c r="F1662" s="4">
        <v>1174</v>
      </c>
      <c r="G1662" s="3" t="s">
        <v>16</v>
      </c>
      <c r="H1662">
        <v>22306</v>
      </c>
      <c r="I1662">
        <v>14189.161990000001</v>
      </c>
      <c r="J1662">
        <v>8116.8380070000003</v>
      </c>
      <c r="K1662" s="5">
        <f>IF(Table1[[#This Row],[Revenue]]=0, 0, Table1[[#This Row],[Profit]]/Table1[[#This Row],[Revenue]])</f>
        <v>0.36388586062046085</v>
      </c>
    </row>
    <row r="1663" spans="1:11" x14ac:dyDescent="0.35">
      <c r="A1663" s="1">
        <v>45448</v>
      </c>
      <c r="B1663" s="3" t="s">
        <v>27</v>
      </c>
      <c r="C1663" s="3" t="s">
        <v>26</v>
      </c>
      <c r="D1663" s="3" t="s">
        <v>18</v>
      </c>
      <c r="E1663" s="4">
        <v>1</v>
      </c>
      <c r="F1663" s="4">
        <v>1516</v>
      </c>
      <c r="G1663" s="3" t="s">
        <v>19</v>
      </c>
      <c r="H1663">
        <v>1516</v>
      </c>
      <c r="I1663">
        <v>963.77017279999995</v>
      </c>
      <c r="J1663">
        <v>552.22982720000005</v>
      </c>
      <c r="K1663" s="5">
        <f>IF(Table1[[#This Row],[Revenue]]=0, 0, Table1[[#This Row],[Profit]]/Table1[[#This Row],[Revenue]])</f>
        <v>0.36426769604221637</v>
      </c>
    </row>
    <row r="1664" spans="1:11" x14ac:dyDescent="0.35">
      <c r="A1664" s="1">
        <v>45579</v>
      </c>
      <c r="B1664" s="3" t="s">
        <v>10</v>
      </c>
      <c r="C1664" s="3" t="s">
        <v>22</v>
      </c>
      <c r="D1664" s="3" t="s">
        <v>29</v>
      </c>
      <c r="E1664" s="4">
        <v>16</v>
      </c>
      <c r="F1664" s="4">
        <v>1803</v>
      </c>
      <c r="G1664" s="3" t="s">
        <v>13</v>
      </c>
      <c r="H1664">
        <v>28848</v>
      </c>
      <c r="I1664">
        <v>19868.528340000001</v>
      </c>
      <c r="J1664">
        <v>8979.4716570000001</v>
      </c>
      <c r="K1664" s="5">
        <f>IF(Table1[[#This Row],[Revenue]]=0, 0, Table1[[#This Row],[Profit]]/Table1[[#This Row],[Revenue]])</f>
        <v>0.3112684295965058</v>
      </c>
    </row>
    <row r="1665" spans="1:11" x14ac:dyDescent="0.35">
      <c r="A1665" s="1">
        <v>45466</v>
      </c>
      <c r="B1665" s="3" t="s">
        <v>27</v>
      </c>
      <c r="C1665" s="3" t="s">
        <v>14</v>
      </c>
      <c r="D1665" s="3" t="s">
        <v>18</v>
      </c>
      <c r="E1665" s="4">
        <v>12</v>
      </c>
      <c r="F1665" s="4">
        <v>720</v>
      </c>
      <c r="G1665" s="3" t="s">
        <v>16</v>
      </c>
      <c r="H1665">
        <v>8640</v>
      </c>
      <c r="I1665">
        <v>5276.334468</v>
      </c>
      <c r="J1665">
        <v>3363.665532</v>
      </c>
      <c r="K1665" s="5">
        <f>IF(Table1[[#This Row],[Revenue]]=0, 0, Table1[[#This Row],[Profit]]/Table1[[#This Row],[Revenue]])</f>
        <v>0.3893131402777778</v>
      </c>
    </row>
    <row r="1666" spans="1:11" x14ac:dyDescent="0.35">
      <c r="A1666" s="1">
        <v>45375</v>
      </c>
      <c r="B1666" s="3" t="s">
        <v>20</v>
      </c>
      <c r="C1666" s="3" t="s">
        <v>14</v>
      </c>
      <c r="D1666" s="3" t="s">
        <v>29</v>
      </c>
      <c r="E1666" s="4">
        <v>8</v>
      </c>
      <c r="F1666" s="4">
        <v>1842</v>
      </c>
      <c r="G1666" s="3" t="s">
        <v>16</v>
      </c>
      <c r="H1666">
        <v>14736</v>
      </c>
      <c r="I1666">
        <v>10059.95451</v>
      </c>
      <c r="J1666">
        <v>4676.0454920000002</v>
      </c>
      <c r="K1666" s="5">
        <f>IF(Table1[[#This Row],[Revenue]]=0, 0, Table1[[#This Row],[Profit]]/Table1[[#This Row],[Revenue]])</f>
        <v>0.31732121959826276</v>
      </c>
    </row>
    <row r="1667" spans="1:11" x14ac:dyDescent="0.35">
      <c r="A1667" s="1">
        <v>45313</v>
      </c>
      <c r="B1667" s="3" t="s">
        <v>27</v>
      </c>
      <c r="C1667" s="3" t="s">
        <v>26</v>
      </c>
      <c r="D1667" s="3" t="s">
        <v>25</v>
      </c>
      <c r="E1667" s="4">
        <v>5</v>
      </c>
      <c r="F1667" s="4">
        <v>1423</v>
      </c>
      <c r="G1667" s="3" t="s">
        <v>19</v>
      </c>
      <c r="H1667">
        <v>7115</v>
      </c>
      <c r="I1667">
        <v>5749.3321589999996</v>
      </c>
      <c r="J1667">
        <v>1365.667841</v>
      </c>
      <c r="K1667" s="5">
        <f>IF(Table1[[#This Row],[Revenue]]=0, 0, Table1[[#This Row],[Profit]]/Table1[[#This Row],[Revenue]])</f>
        <v>0.19194207182009837</v>
      </c>
    </row>
    <row r="1668" spans="1:11" x14ac:dyDescent="0.35">
      <c r="A1668" s="1">
        <v>45318</v>
      </c>
      <c r="B1668" s="3" t="s">
        <v>20</v>
      </c>
      <c r="C1668" s="3" t="s">
        <v>11</v>
      </c>
      <c r="D1668" s="3" t="s">
        <v>12</v>
      </c>
      <c r="E1668" s="4">
        <v>10</v>
      </c>
      <c r="F1668" s="4">
        <v>1745</v>
      </c>
      <c r="G1668" s="3" t="s">
        <v>13</v>
      </c>
      <c r="H1668">
        <v>17450</v>
      </c>
      <c r="I1668">
        <v>12700.29931</v>
      </c>
      <c r="J1668">
        <v>4749.7006879999999</v>
      </c>
      <c r="K1668" s="5">
        <f>IF(Table1[[#This Row],[Revenue]]=0, 0, Table1[[#This Row],[Profit]]/Table1[[#This Row],[Revenue]])</f>
        <v>0.27218915117478509</v>
      </c>
    </row>
    <row r="1669" spans="1:11" x14ac:dyDescent="0.35">
      <c r="A1669" s="1">
        <v>45486</v>
      </c>
      <c r="B1669" s="3" t="s">
        <v>43</v>
      </c>
      <c r="C1669" s="3" t="s">
        <v>26</v>
      </c>
      <c r="D1669" s="3" t="s">
        <v>15</v>
      </c>
      <c r="E1669" s="4">
        <v>5</v>
      </c>
      <c r="F1669" s="4">
        <v>295</v>
      </c>
      <c r="G1669" s="3" t="s">
        <v>19</v>
      </c>
      <c r="H1669">
        <v>1475</v>
      </c>
      <c r="I1669">
        <v>1113.7151309999999</v>
      </c>
      <c r="J1669">
        <v>361.28486939999999</v>
      </c>
      <c r="K1669" s="5">
        <f>IF(Table1[[#This Row],[Revenue]]=0, 0, Table1[[#This Row],[Profit]]/Table1[[#This Row],[Revenue]])</f>
        <v>0.24493889450847456</v>
      </c>
    </row>
    <row r="1670" spans="1:11" x14ac:dyDescent="0.35">
      <c r="A1670" s="1">
        <v>45628</v>
      </c>
      <c r="B1670" s="3" t="s">
        <v>23</v>
      </c>
      <c r="C1670" s="3" t="s">
        <v>24</v>
      </c>
      <c r="D1670" s="3" t="s">
        <v>18</v>
      </c>
      <c r="E1670" s="4">
        <v>17</v>
      </c>
      <c r="F1670" s="4">
        <v>516</v>
      </c>
      <c r="G1670" s="3" t="s">
        <v>19</v>
      </c>
      <c r="H1670">
        <v>8772</v>
      </c>
      <c r="I1670">
        <v>7677.155092</v>
      </c>
      <c r="J1670">
        <v>1094.844908</v>
      </c>
      <c r="K1670" s="5">
        <f>IF(Table1[[#This Row],[Revenue]]=0, 0, Table1[[#This Row],[Profit]]/Table1[[#This Row],[Revenue]])</f>
        <v>0.12481132102143183</v>
      </c>
    </row>
    <row r="1671" spans="1:11" x14ac:dyDescent="0.35">
      <c r="A1671" s="1">
        <v>45527</v>
      </c>
      <c r="B1671" s="3" t="s">
        <v>23</v>
      </c>
      <c r="C1671" s="3" t="s">
        <v>14</v>
      </c>
      <c r="D1671" s="3" t="s">
        <v>32</v>
      </c>
      <c r="E1671" s="4">
        <v>5</v>
      </c>
      <c r="F1671" s="4">
        <v>763</v>
      </c>
      <c r="G1671" s="3" t="s">
        <v>16</v>
      </c>
      <c r="H1671">
        <v>3815</v>
      </c>
      <c r="I1671">
        <v>2420.2624559999999</v>
      </c>
      <c r="J1671">
        <v>1394.7375440000001</v>
      </c>
      <c r="K1671" s="5">
        <f>IF(Table1[[#This Row],[Revenue]]=0, 0, Table1[[#This Row],[Profit]]/Table1[[#This Row],[Revenue]])</f>
        <v>0.3655930652686763</v>
      </c>
    </row>
    <row r="1672" spans="1:11" x14ac:dyDescent="0.35">
      <c r="A1672" s="1">
        <v>45383</v>
      </c>
      <c r="B1672" s="3" t="s">
        <v>10</v>
      </c>
      <c r="C1672" s="3" t="s">
        <v>26</v>
      </c>
      <c r="D1672" s="3" t="s">
        <v>21</v>
      </c>
      <c r="E1672" s="4">
        <v>15</v>
      </c>
      <c r="F1672" s="4">
        <v>1543</v>
      </c>
      <c r="G1672" s="3" t="s">
        <v>19</v>
      </c>
      <c r="H1672">
        <v>23145</v>
      </c>
      <c r="I1672">
        <v>14381.65991</v>
      </c>
      <c r="J1672">
        <v>8763.3400939999992</v>
      </c>
      <c r="K1672" s="5">
        <f>IF(Table1[[#This Row],[Revenue]]=0, 0, Table1[[#This Row],[Profit]]/Table1[[#This Row],[Revenue]])</f>
        <v>0.37862778543961978</v>
      </c>
    </row>
    <row r="1673" spans="1:11" x14ac:dyDescent="0.35">
      <c r="A1673" s="1">
        <v>45312</v>
      </c>
      <c r="B1673" s="3" t="s">
        <v>10</v>
      </c>
      <c r="C1673" s="3" t="s">
        <v>31</v>
      </c>
      <c r="D1673" s="3" t="s">
        <v>30</v>
      </c>
      <c r="E1673" s="4">
        <v>13</v>
      </c>
      <c r="F1673" s="4">
        <v>1878</v>
      </c>
      <c r="G1673" s="3" t="s">
        <v>19</v>
      </c>
      <c r="H1673">
        <v>24414</v>
      </c>
      <c r="I1673">
        <v>20888.11119</v>
      </c>
      <c r="J1673">
        <v>3525.8888069999998</v>
      </c>
      <c r="K1673" s="5">
        <f>IF(Table1[[#This Row],[Revenue]]=0, 0, Table1[[#This Row],[Profit]]/Table1[[#This Row],[Revenue]])</f>
        <v>0.14442077525190464</v>
      </c>
    </row>
    <row r="1674" spans="1:11" x14ac:dyDescent="0.35">
      <c r="A1674" s="1">
        <v>45594</v>
      </c>
      <c r="B1674" s="3" t="s">
        <v>20</v>
      </c>
      <c r="C1674" s="3" t="s">
        <v>22</v>
      </c>
      <c r="D1674" s="3" t="s">
        <v>29</v>
      </c>
      <c r="E1674" s="4">
        <v>1</v>
      </c>
      <c r="F1674" s="4">
        <v>1763</v>
      </c>
      <c r="G1674" s="3" t="s">
        <v>13</v>
      </c>
      <c r="H1674">
        <v>1763</v>
      </c>
      <c r="I1674">
        <v>1467.6212310000001</v>
      </c>
      <c r="J1674">
        <v>295.37876870000002</v>
      </c>
      <c r="K1674" s="5">
        <f>IF(Table1[[#This Row],[Revenue]]=0, 0, Table1[[#This Row],[Profit]]/Table1[[#This Row],[Revenue]])</f>
        <v>0.16754326074872378</v>
      </c>
    </row>
    <row r="1675" spans="1:11" x14ac:dyDescent="0.35">
      <c r="A1675" s="1">
        <v>45648</v>
      </c>
      <c r="B1675" s="3" t="s">
        <v>23</v>
      </c>
      <c r="C1675" s="3" t="s">
        <v>31</v>
      </c>
      <c r="D1675" s="3" t="s">
        <v>29</v>
      </c>
      <c r="E1675" s="4">
        <v>11</v>
      </c>
      <c r="F1675" s="4">
        <v>1740</v>
      </c>
      <c r="G1675" s="3" t="s">
        <v>19</v>
      </c>
      <c r="H1675">
        <v>19140</v>
      </c>
      <c r="I1675">
        <v>12998.361699999999</v>
      </c>
      <c r="J1675">
        <v>6141.6382990000002</v>
      </c>
      <c r="K1675" s="5">
        <f>IF(Table1[[#This Row],[Revenue]]=0, 0, Table1[[#This Row],[Profit]]/Table1[[#This Row],[Revenue]])</f>
        <v>0.32087974393939395</v>
      </c>
    </row>
    <row r="1676" spans="1:11" x14ac:dyDescent="0.35">
      <c r="A1676" s="1">
        <v>45375</v>
      </c>
      <c r="B1676" s="3" t="s">
        <v>27</v>
      </c>
      <c r="C1676" s="3" t="s">
        <v>24</v>
      </c>
      <c r="D1676" s="3" t="s">
        <v>30</v>
      </c>
      <c r="E1676" s="4">
        <v>1</v>
      </c>
      <c r="F1676" s="4">
        <v>1645</v>
      </c>
      <c r="G1676" s="3" t="s">
        <v>19</v>
      </c>
      <c r="H1676">
        <v>1645</v>
      </c>
      <c r="I1676">
        <v>1147.0095409999999</v>
      </c>
      <c r="J1676">
        <v>497.99045860000001</v>
      </c>
      <c r="K1676" s="5">
        <f>IF(Table1[[#This Row],[Revenue]]=0, 0, Table1[[#This Row],[Profit]]/Table1[[#This Row],[Revenue]])</f>
        <v>0.3027297620668693</v>
      </c>
    </row>
    <row r="1677" spans="1:11" x14ac:dyDescent="0.35">
      <c r="A1677" s="1">
        <v>45553</v>
      </c>
      <c r="B1677" s="3" t="s">
        <v>27</v>
      </c>
      <c r="C1677" s="3" t="s">
        <v>43</v>
      </c>
      <c r="D1677" s="3" t="s">
        <v>15</v>
      </c>
      <c r="E1677" s="4">
        <v>11</v>
      </c>
      <c r="F1677" s="4">
        <v>1479</v>
      </c>
      <c r="G1677" s="3" t="s">
        <v>19</v>
      </c>
      <c r="H1677">
        <v>16269</v>
      </c>
      <c r="I1677">
        <v>11275.77303</v>
      </c>
      <c r="J1677">
        <v>4993.2269669999996</v>
      </c>
      <c r="K1677" s="5">
        <f>IF(Table1[[#This Row],[Revenue]]=0, 0, Table1[[#This Row],[Profit]]/Table1[[#This Row],[Revenue]])</f>
        <v>0.30691664927162082</v>
      </c>
    </row>
    <row r="1678" spans="1:11" x14ac:dyDescent="0.35">
      <c r="A1678" s="1">
        <v>45438</v>
      </c>
      <c r="B1678" s="3" t="s">
        <v>27</v>
      </c>
      <c r="C1678" s="3" t="s">
        <v>28</v>
      </c>
      <c r="D1678" s="3" t="s">
        <v>30</v>
      </c>
      <c r="E1678" s="4">
        <v>18</v>
      </c>
      <c r="F1678" s="4">
        <v>247</v>
      </c>
      <c r="G1678" s="3" t="s">
        <v>16</v>
      </c>
      <c r="H1678">
        <v>4446</v>
      </c>
      <c r="I1678">
        <v>3531.647375</v>
      </c>
      <c r="J1678">
        <v>914.35262520000003</v>
      </c>
      <c r="K1678" s="5">
        <f>IF(Table1[[#This Row],[Revenue]]=0, 0, Table1[[#This Row],[Profit]]/Table1[[#This Row],[Revenue]])</f>
        <v>0.20565736059379219</v>
      </c>
    </row>
    <row r="1679" spans="1:11" x14ac:dyDescent="0.35">
      <c r="A1679" s="1">
        <v>45548</v>
      </c>
      <c r="B1679" s="3" t="s">
        <v>10</v>
      </c>
      <c r="C1679" s="3" t="s">
        <v>24</v>
      </c>
      <c r="D1679" s="3" t="s">
        <v>18</v>
      </c>
      <c r="E1679" s="4">
        <v>18</v>
      </c>
      <c r="F1679" s="4">
        <v>1100</v>
      </c>
      <c r="G1679" s="3" t="s">
        <v>19</v>
      </c>
      <c r="H1679">
        <v>19800</v>
      </c>
      <c r="I1679">
        <v>12243.59635</v>
      </c>
      <c r="J1679">
        <v>7556.4036480000004</v>
      </c>
      <c r="K1679" s="5">
        <f>IF(Table1[[#This Row],[Revenue]]=0, 0, Table1[[#This Row],[Profit]]/Table1[[#This Row],[Revenue]])</f>
        <v>0.38163654787878792</v>
      </c>
    </row>
    <row r="1680" spans="1:11" x14ac:dyDescent="0.35">
      <c r="A1680" s="1">
        <v>45349</v>
      </c>
      <c r="B1680" s="3" t="s">
        <v>27</v>
      </c>
      <c r="C1680" s="3" t="s">
        <v>11</v>
      </c>
      <c r="D1680" s="3" t="s">
        <v>30</v>
      </c>
      <c r="E1680" s="4">
        <v>16</v>
      </c>
      <c r="F1680" s="4">
        <v>1488</v>
      </c>
      <c r="G1680" s="3" t="s">
        <v>13</v>
      </c>
      <c r="H1680">
        <v>23808</v>
      </c>
      <c r="I1680">
        <v>17780.301879999999</v>
      </c>
      <c r="J1680">
        <v>6027.6981169999999</v>
      </c>
      <c r="K1680" s="5">
        <f>IF(Table1[[#This Row],[Revenue]]=0, 0, Table1[[#This Row],[Profit]]/Table1[[#This Row],[Revenue]])</f>
        <v>0.25317952440356184</v>
      </c>
    </row>
    <row r="1681" spans="1:11" x14ac:dyDescent="0.35">
      <c r="A1681" s="1">
        <v>45453</v>
      </c>
      <c r="B1681" s="3" t="s">
        <v>10</v>
      </c>
      <c r="C1681" s="3" t="s">
        <v>31</v>
      </c>
      <c r="D1681" s="3" t="s">
        <v>30</v>
      </c>
      <c r="E1681" s="4">
        <v>7</v>
      </c>
      <c r="F1681" s="4">
        <v>1775</v>
      </c>
      <c r="G1681" s="3" t="s">
        <v>19</v>
      </c>
      <c r="H1681">
        <v>12425</v>
      </c>
      <c r="I1681">
        <v>10510.575409999999</v>
      </c>
      <c r="J1681">
        <v>1914.424589</v>
      </c>
      <c r="K1681" s="5">
        <f>IF(Table1[[#This Row],[Revenue]]=0, 0, Table1[[#This Row],[Profit]]/Table1[[#This Row],[Revenue]])</f>
        <v>0.15407843774647886</v>
      </c>
    </row>
    <row r="1682" spans="1:11" x14ac:dyDescent="0.35">
      <c r="A1682" s="1">
        <v>45611</v>
      </c>
      <c r="B1682" s="3" t="s">
        <v>27</v>
      </c>
      <c r="C1682" s="3" t="s">
        <v>26</v>
      </c>
      <c r="D1682" s="3" t="s">
        <v>32</v>
      </c>
      <c r="E1682" s="4">
        <v>16</v>
      </c>
      <c r="F1682" s="4">
        <v>501</v>
      </c>
      <c r="G1682" s="3" t="s">
        <v>19</v>
      </c>
      <c r="H1682">
        <v>8016</v>
      </c>
      <c r="I1682">
        <v>6078.3056100000003</v>
      </c>
      <c r="J1682">
        <v>1937.6943900000001</v>
      </c>
      <c r="K1682" s="5">
        <f>IF(Table1[[#This Row],[Revenue]]=0, 0, Table1[[#This Row],[Profit]]/Table1[[#This Row],[Revenue]])</f>
        <v>0.24172834206586827</v>
      </c>
    </row>
    <row r="1683" spans="1:11" x14ac:dyDescent="0.35">
      <c r="A1683" s="1">
        <v>45572</v>
      </c>
      <c r="B1683" s="3" t="s">
        <v>27</v>
      </c>
      <c r="C1683" s="3" t="s">
        <v>11</v>
      </c>
      <c r="D1683" s="3" t="s">
        <v>18</v>
      </c>
      <c r="E1683" s="4">
        <v>1</v>
      </c>
      <c r="F1683" s="4">
        <v>705</v>
      </c>
      <c r="G1683" s="3" t="s">
        <v>13</v>
      </c>
      <c r="H1683">
        <v>705</v>
      </c>
      <c r="I1683">
        <v>429.2006743</v>
      </c>
      <c r="J1683">
        <v>275.7993257</v>
      </c>
      <c r="K1683" s="5">
        <f>IF(Table1[[#This Row],[Revenue]]=0, 0, Table1[[#This Row],[Profit]]/Table1[[#This Row],[Revenue]])</f>
        <v>0.39120471730496453</v>
      </c>
    </row>
    <row r="1684" spans="1:11" x14ac:dyDescent="0.35">
      <c r="A1684" s="1">
        <v>45571</v>
      </c>
      <c r="B1684" s="3" t="s">
        <v>23</v>
      </c>
      <c r="C1684" s="3" t="s">
        <v>28</v>
      </c>
      <c r="D1684" s="3" t="s">
        <v>30</v>
      </c>
      <c r="E1684" s="4">
        <v>17</v>
      </c>
      <c r="F1684" s="4">
        <v>1615</v>
      </c>
      <c r="G1684" s="3" t="s">
        <v>16</v>
      </c>
      <c r="H1684">
        <v>27455</v>
      </c>
      <c r="I1684">
        <v>16952.89402</v>
      </c>
      <c r="J1684">
        <v>10502.10598</v>
      </c>
      <c r="K1684" s="5">
        <f>IF(Table1[[#This Row],[Revenue]]=0, 0, Table1[[#This Row],[Profit]]/Table1[[#This Row],[Revenue]])</f>
        <v>0.38252070588235293</v>
      </c>
    </row>
    <row r="1685" spans="1:11" x14ac:dyDescent="0.35">
      <c r="A1685" s="1">
        <v>45565</v>
      </c>
      <c r="B1685" s="3" t="s">
        <v>23</v>
      </c>
      <c r="C1685" s="3" t="s">
        <v>31</v>
      </c>
      <c r="D1685" s="3" t="s">
        <v>25</v>
      </c>
      <c r="E1685" s="4">
        <v>2</v>
      </c>
      <c r="F1685" s="4">
        <v>1698</v>
      </c>
      <c r="G1685" s="3" t="s">
        <v>19</v>
      </c>
      <c r="H1685">
        <v>3396</v>
      </c>
      <c r="I1685">
        <v>2818.7858310000001</v>
      </c>
      <c r="J1685">
        <v>577.21416859999999</v>
      </c>
      <c r="K1685" s="5">
        <f>IF(Table1[[#This Row],[Revenue]]=0, 0, Table1[[#This Row],[Profit]]/Table1[[#This Row],[Revenue]])</f>
        <v>0.16996883645465252</v>
      </c>
    </row>
    <row r="1686" spans="1:11" x14ac:dyDescent="0.35">
      <c r="A1686" s="1">
        <v>45562</v>
      </c>
      <c r="B1686" s="3" t="s">
        <v>20</v>
      </c>
      <c r="C1686" s="3" t="s">
        <v>11</v>
      </c>
      <c r="D1686" s="3" t="s">
        <v>32</v>
      </c>
      <c r="E1686" s="4">
        <v>17</v>
      </c>
      <c r="F1686" s="4">
        <v>1975</v>
      </c>
      <c r="G1686" s="3" t="s">
        <v>13</v>
      </c>
      <c r="H1686">
        <v>33575</v>
      </c>
      <c r="I1686">
        <v>27296.833429999999</v>
      </c>
      <c r="J1686">
        <v>6278.1665739999999</v>
      </c>
      <c r="K1686" s="5">
        <f>IF(Table1[[#This Row],[Revenue]]=0, 0, Table1[[#This Row],[Profit]]/Table1[[#This Row],[Revenue]])</f>
        <v>0.18698932461653014</v>
      </c>
    </row>
    <row r="1687" spans="1:11" x14ac:dyDescent="0.35">
      <c r="A1687" s="1">
        <v>45499</v>
      </c>
      <c r="B1687" s="3" t="s">
        <v>27</v>
      </c>
      <c r="C1687" s="3" t="s">
        <v>24</v>
      </c>
      <c r="D1687" s="3" t="s">
        <v>18</v>
      </c>
      <c r="E1687" s="4">
        <v>6</v>
      </c>
      <c r="F1687" s="4">
        <v>636</v>
      </c>
      <c r="G1687" s="3" t="s">
        <v>19</v>
      </c>
      <c r="H1687">
        <v>3816</v>
      </c>
      <c r="I1687">
        <v>3133.3389350000002</v>
      </c>
      <c r="J1687">
        <v>682.66106500000001</v>
      </c>
      <c r="K1687" s="5">
        <f>IF(Table1[[#This Row],[Revenue]]=0, 0, Table1[[#This Row],[Profit]]/Table1[[#This Row],[Revenue]])</f>
        <v>0.17889440906708595</v>
      </c>
    </row>
    <row r="1688" spans="1:11" x14ac:dyDescent="0.35">
      <c r="A1688" s="1">
        <v>45318</v>
      </c>
      <c r="B1688" s="3" t="s">
        <v>10</v>
      </c>
      <c r="C1688" s="3" t="s">
        <v>24</v>
      </c>
      <c r="D1688" s="3" t="s">
        <v>29</v>
      </c>
      <c r="E1688" s="4">
        <v>14</v>
      </c>
      <c r="F1688" s="4">
        <v>367</v>
      </c>
      <c r="G1688" s="3" t="s">
        <v>19</v>
      </c>
      <c r="H1688">
        <v>5138</v>
      </c>
      <c r="I1688">
        <v>3244.0610379999998</v>
      </c>
      <c r="J1688">
        <v>1893.9389619999999</v>
      </c>
      <c r="K1688" s="5">
        <f>IF(Table1[[#This Row],[Revenue]]=0, 0, Table1[[#This Row],[Profit]]/Table1[[#This Row],[Revenue]])</f>
        <v>0.36861404476449977</v>
      </c>
    </row>
    <row r="1689" spans="1:11" x14ac:dyDescent="0.35">
      <c r="A1689" s="1">
        <v>45363</v>
      </c>
      <c r="B1689" s="3" t="s">
        <v>10</v>
      </c>
      <c r="C1689" s="3" t="s">
        <v>26</v>
      </c>
      <c r="D1689" s="3" t="s">
        <v>15</v>
      </c>
      <c r="E1689" s="4">
        <v>18</v>
      </c>
      <c r="F1689" s="4">
        <v>1528</v>
      </c>
      <c r="G1689" s="3" t="s">
        <v>19</v>
      </c>
      <c r="H1689">
        <v>27504</v>
      </c>
      <c r="I1689">
        <v>22224.201580000001</v>
      </c>
      <c r="J1689">
        <v>5279.7984200000001</v>
      </c>
      <c r="K1689" s="5">
        <f>IF(Table1[[#This Row],[Revenue]]=0, 0, Table1[[#This Row],[Profit]]/Table1[[#This Row],[Revenue]])</f>
        <v>0.19196474767306573</v>
      </c>
    </row>
    <row r="1690" spans="1:11" x14ac:dyDescent="0.35">
      <c r="A1690" s="1">
        <v>45351</v>
      </c>
      <c r="B1690" s="3" t="s">
        <v>10</v>
      </c>
      <c r="C1690" s="3" t="s">
        <v>14</v>
      </c>
      <c r="D1690" s="3" t="s">
        <v>21</v>
      </c>
      <c r="E1690" s="4">
        <v>6</v>
      </c>
      <c r="F1690" s="4">
        <v>1916</v>
      </c>
      <c r="G1690" s="3" t="s">
        <v>16</v>
      </c>
      <c r="H1690">
        <v>11496</v>
      </c>
      <c r="I1690">
        <v>7524.4110629999996</v>
      </c>
      <c r="J1690">
        <v>3971.588937</v>
      </c>
      <c r="K1690" s="5">
        <f>IF(Table1[[#This Row],[Revenue]]=0, 0, Table1[[#This Row],[Profit]]/Table1[[#This Row],[Revenue]])</f>
        <v>0.34547572520876829</v>
      </c>
    </row>
    <row r="1691" spans="1:11" x14ac:dyDescent="0.35">
      <c r="A1691" s="1">
        <v>45436</v>
      </c>
      <c r="B1691" s="3" t="s">
        <v>10</v>
      </c>
      <c r="C1691" s="3" t="s">
        <v>17</v>
      </c>
      <c r="D1691" s="3" t="s">
        <v>12</v>
      </c>
      <c r="E1691" s="4">
        <v>10</v>
      </c>
      <c r="F1691" s="4">
        <v>1134</v>
      </c>
      <c r="G1691" s="3" t="s">
        <v>19</v>
      </c>
      <c r="H1691">
        <v>11340</v>
      </c>
      <c r="I1691">
        <v>7137.4484990000001</v>
      </c>
      <c r="J1691">
        <v>4202.5515009999999</v>
      </c>
      <c r="K1691" s="5">
        <f>IF(Table1[[#This Row],[Revenue]]=0, 0, Table1[[#This Row],[Profit]]/Table1[[#This Row],[Revenue]])</f>
        <v>0.37059537045855379</v>
      </c>
    </row>
    <row r="1692" spans="1:11" x14ac:dyDescent="0.35">
      <c r="A1692" s="1">
        <v>45384</v>
      </c>
      <c r="B1692" s="3" t="s">
        <v>10</v>
      </c>
      <c r="C1692" s="3" t="s">
        <v>31</v>
      </c>
      <c r="D1692" s="3" t="s">
        <v>15</v>
      </c>
      <c r="E1692" s="4">
        <v>18</v>
      </c>
      <c r="F1692" s="4">
        <v>1443</v>
      </c>
      <c r="G1692" s="3" t="s">
        <v>19</v>
      </c>
      <c r="H1692">
        <v>25974</v>
      </c>
      <c r="I1692">
        <v>21484.348620000001</v>
      </c>
      <c r="J1692">
        <v>4489.6513770000001</v>
      </c>
      <c r="K1692" s="5">
        <f>IF(Table1[[#This Row],[Revenue]]=0, 0, Table1[[#This Row],[Profit]]/Table1[[#This Row],[Revenue]])</f>
        <v>0.17285175086625088</v>
      </c>
    </row>
    <row r="1693" spans="1:11" x14ac:dyDescent="0.35">
      <c r="A1693" s="1">
        <v>45600</v>
      </c>
      <c r="B1693" s="3" t="s">
        <v>23</v>
      </c>
      <c r="C1693" s="3" t="s">
        <v>14</v>
      </c>
      <c r="D1693" s="3" t="s">
        <v>12</v>
      </c>
      <c r="E1693" s="4">
        <v>9</v>
      </c>
      <c r="F1693" s="4">
        <v>1836</v>
      </c>
      <c r="G1693" s="3" t="s">
        <v>16</v>
      </c>
      <c r="H1693">
        <v>16524</v>
      </c>
      <c r="I1693">
        <v>14323.364</v>
      </c>
      <c r="J1693">
        <v>2200.635996</v>
      </c>
      <c r="K1693" s="5">
        <f>IF(Table1[[#This Row],[Revenue]]=0, 0, Table1[[#This Row],[Profit]]/Table1[[#This Row],[Revenue]])</f>
        <v>0.13317816485112563</v>
      </c>
    </row>
    <row r="1694" spans="1:11" x14ac:dyDescent="0.35">
      <c r="A1694" s="1">
        <v>45299</v>
      </c>
      <c r="B1694" s="3" t="s">
        <v>20</v>
      </c>
      <c r="C1694" s="3" t="s">
        <v>14</v>
      </c>
      <c r="D1694" s="3" t="s">
        <v>21</v>
      </c>
      <c r="E1694" s="4">
        <v>8</v>
      </c>
      <c r="F1694" s="4">
        <v>225</v>
      </c>
      <c r="G1694" s="3" t="s">
        <v>16</v>
      </c>
      <c r="H1694">
        <v>1800</v>
      </c>
      <c r="I1694">
        <v>1467.0233499999999</v>
      </c>
      <c r="J1694">
        <v>332.97665000000001</v>
      </c>
      <c r="K1694" s="5">
        <f>IF(Table1[[#This Row],[Revenue]]=0, 0, Table1[[#This Row],[Profit]]/Table1[[#This Row],[Revenue]])</f>
        <v>0.18498702777777778</v>
      </c>
    </row>
    <row r="1695" spans="1:11" x14ac:dyDescent="0.35">
      <c r="A1695" s="1">
        <v>45370</v>
      </c>
      <c r="B1695" s="3" t="s">
        <v>27</v>
      </c>
      <c r="C1695" s="3" t="s">
        <v>17</v>
      </c>
      <c r="D1695" s="3" t="s">
        <v>30</v>
      </c>
      <c r="E1695" s="4">
        <v>10</v>
      </c>
      <c r="F1695" s="4">
        <v>405</v>
      </c>
      <c r="G1695" s="3" t="s">
        <v>19</v>
      </c>
      <c r="H1695">
        <v>4050</v>
      </c>
      <c r="I1695">
        <v>3408.771745</v>
      </c>
      <c r="J1695">
        <v>641.22825479999995</v>
      </c>
      <c r="K1695" s="5">
        <f>IF(Table1[[#This Row],[Revenue]]=0, 0, Table1[[#This Row],[Profit]]/Table1[[#This Row],[Revenue]])</f>
        <v>0.15832796414814815</v>
      </c>
    </row>
    <row r="1696" spans="1:11" x14ac:dyDescent="0.35">
      <c r="A1696" s="1">
        <v>45318</v>
      </c>
      <c r="B1696" s="3" t="s">
        <v>23</v>
      </c>
      <c r="C1696" s="3" t="s">
        <v>14</v>
      </c>
      <c r="D1696" s="3" t="s">
        <v>18</v>
      </c>
      <c r="E1696" s="4">
        <v>17</v>
      </c>
      <c r="F1696" s="4">
        <v>1825</v>
      </c>
      <c r="G1696" s="3" t="s">
        <v>16</v>
      </c>
      <c r="H1696">
        <v>31025</v>
      </c>
      <c r="I1696">
        <v>27839.553</v>
      </c>
      <c r="J1696">
        <v>3185.4469960000001</v>
      </c>
      <c r="K1696" s="5">
        <f>IF(Table1[[#This Row],[Revenue]]=0, 0, Table1[[#This Row],[Profit]]/Table1[[#This Row],[Revenue]])</f>
        <v>0.10267355345688961</v>
      </c>
    </row>
    <row r="1697" spans="1:11" x14ac:dyDescent="0.35">
      <c r="A1697" s="1">
        <v>45465</v>
      </c>
      <c r="B1697" s="3" t="s">
        <v>20</v>
      </c>
      <c r="C1697" s="3" t="s">
        <v>14</v>
      </c>
      <c r="D1697" s="3" t="s">
        <v>30</v>
      </c>
      <c r="E1697" s="4">
        <v>6</v>
      </c>
      <c r="F1697" s="4">
        <v>1634</v>
      </c>
      <c r="G1697" s="3" t="s">
        <v>16</v>
      </c>
      <c r="H1697">
        <v>9804</v>
      </c>
      <c r="I1697">
        <v>6278.744087</v>
      </c>
      <c r="J1697">
        <v>3525.255913</v>
      </c>
      <c r="K1697" s="5">
        <f>IF(Table1[[#This Row],[Revenue]]=0, 0, Table1[[#This Row],[Profit]]/Table1[[#This Row],[Revenue]])</f>
        <v>0.3595732265401877</v>
      </c>
    </row>
    <row r="1698" spans="1:11" x14ac:dyDescent="0.35">
      <c r="A1698" s="1">
        <v>45341</v>
      </c>
      <c r="B1698" s="3" t="s">
        <v>10</v>
      </c>
      <c r="C1698" s="3" t="s">
        <v>24</v>
      </c>
      <c r="D1698" s="3" t="s">
        <v>21</v>
      </c>
      <c r="E1698" s="4">
        <v>14</v>
      </c>
      <c r="F1698" s="4">
        <v>1212</v>
      </c>
      <c r="G1698" s="3" t="s">
        <v>19</v>
      </c>
      <c r="H1698">
        <v>16968</v>
      </c>
      <c r="I1698">
        <v>15093.812550000001</v>
      </c>
      <c r="J1698">
        <v>1874.187447</v>
      </c>
      <c r="K1698" s="5">
        <f>IF(Table1[[#This Row],[Revenue]]=0, 0, Table1[[#This Row],[Profit]]/Table1[[#This Row],[Revenue]])</f>
        <v>0.11045423426449788</v>
      </c>
    </row>
    <row r="1699" spans="1:11" x14ac:dyDescent="0.35">
      <c r="A1699" s="1">
        <v>45490</v>
      </c>
      <c r="B1699" s="3" t="s">
        <v>20</v>
      </c>
      <c r="C1699" s="3" t="s">
        <v>24</v>
      </c>
      <c r="D1699" s="3" t="s">
        <v>21</v>
      </c>
      <c r="E1699" s="4">
        <v>6</v>
      </c>
      <c r="F1699" s="4">
        <v>1478</v>
      </c>
      <c r="G1699" s="3" t="s">
        <v>19</v>
      </c>
      <c r="H1699">
        <v>8868</v>
      </c>
      <c r="I1699">
        <v>6920.2266419999996</v>
      </c>
      <c r="J1699">
        <v>1947.7733579999999</v>
      </c>
      <c r="K1699" s="5">
        <f>IF(Table1[[#This Row],[Revenue]]=0, 0, Table1[[#This Row],[Profit]]/Table1[[#This Row],[Revenue]])</f>
        <v>0.21964065832205681</v>
      </c>
    </row>
    <row r="1700" spans="1:11" x14ac:dyDescent="0.35">
      <c r="A1700" s="1">
        <v>45640</v>
      </c>
      <c r="B1700" s="3" t="s">
        <v>20</v>
      </c>
      <c r="C1700" s="3" t="s">
        <v>22</v>
      </c>
      <c r="D1700" s="3" t="s">
        <v>21</v>
      </c>
      <c r="E1700" s="4">
        <v>7</v>
      </c>
      <c r="F1700" s="4">
        <v>727</v>
      </c>
      <c r="G1700" s="3" t="s">
        <v>13</v>
      </c>
      <c r="H1700">
        <v>5089</v>
      </c>
      <c r="I1700">
        <v>4294.9935949999999</v>
      </c>
      <c r="J1700">
        <v>794.00640469999996</v>
      </c>
      <c r="K1700" s="5">
        <f>IF(Table1[[#This Row],[Revenue]]=0, 0, Table1[[#This Row],[Profit]]/Table1[[#This Row],[Revenue]])</f>
        <v>0.15602405280015719</v>
      </c>
    </row>
    <row r="1701" spans="1:11" x14ac:dyDescent="0.35">
      <c r="A1701" s="1">
        <v>45472</v>
      </c>
      <c r="B1701" s="3" t="s">
        <v>10</v>
      </c>
      <c r="C1701" s="3" t="s">
        <v>28</v>
      </c>
      <c r="D1701" s="3" t="s">
        <v>12</v>
      </c>
      <c r="E1701" s="4">
        <v>12</v>
      </c>
      <c r="F1701" s="4">
        <v>1475</v>
      </c>
      <c r="G1701" s="3" t="s">
        <v>16</v>
      </c>
      <c r="H1701">
        <v>17700</v>
      </c>
      <c r="I1701">
        <v>14072.398349999999</v>
      </c>
      <c r="J1701">
        <v>3627.6016460000001</v>
      </c>
      <c r="K1701" s="5">
        <f>IF(Table1[[#This Row],[Revenue]]=0, 0, Table1[[#This Row],[Profit]]/Table1[[#This Row],[Revenue]])</f>
        <v>0.20494924553672317</v>
      </c>
    </row>
    <row r="1702" spans="1:11" x14ac:dyDescent="0.35">
      <c r="A1702" s="1">
        <v>45315</v>
      </c>
      <c r="B1702" s="3" t="s">
        <v>10</v>
      </c>
      <c r="C1702" s="3" t="s">
        <v>26</v>
      </c>
      <c r="D1702" s="3" t="s">
        <v>32</v>
      </c>
      <c r="E1702" s="4">
        <v>3</v>
      </c>
      <c r="F1702" s="4">
        <v>788</v>
      </c>
      <c r="G1702" s="3" t="s">
        <v>19</v>
      </c>
      <c r="H1702">
        <v>2364</v>
      </c>
      <c r="I1702">
        <v>1822.6708000000001</v>
      </c>
      <c r="J1702">
        <v>541.32920019999995</v>
      </c>
      <c r="K1702" s="5">
        <f>IF(Table1[[#This Row],[Revenue]]=0, 0, Table1[[#This Row],[Profit]]/Table1[[#This Row],[Revenue]])</f>
        <v>0.22898866336717424</v>
      </c>
    </row>
    <row r="1703" spans="1:11" x14ac:dyDescent="0.35">
      <c r="A1703" s="1">
        <v>45607</v>
      </c>
      <c r="B1703" s="3" t="s">
        <v>10</v>
      </c>
      <c r="C1703" s="3" t="s">
        <v>14</v>
      </c>
      <c r="D1703" s="3" t="s">
        <v>29</v>
      </c>
      <c r="E1703" s="4">
        <v>14</v>
      </c>
      <c r="F1703" s="4">
        <v>1137</v>
      </c>
      <c r="G1703" s="3" t="s">
        <v>16</v>
      </c>
      <c r="H1703">
        <v>15918</v>
      </c>
      <c r="I1703">
        <v>12910.862139999999</v>
      </c>
      <c r="J1703">
        <v>3007.1378559999998</v>
      </c>
      <c r="K1703" s="5">
        <f>IF(Table1[[#This Row],[Revenue]]=0, 0, Table1[[#This Row],[Profit]]/Table1[[#This Row],[Revenue]])</f>
        <v>0.18891430179670812</v>
      </c>
    </row>
    <row r="1704" spans="1:11" x14ac:dyDescent="0.35">
      <c r="A1704" s="1">
        <v>45337</v>
      </c>
      <c r="B1704" s="3" t="s">
        <v>27</v>
      </c>
      <c r="C1704" s="3" t="s">
        <v>22</v>
      </c>
      <c r="D1704" s="3" t="s">
        <v>18</v>
      </c>
      <c r="E1704" s="4">
        <v>19</v>
      </c>
      <c r="F1704" s="4">
        <v>1380</v>
      </c>
      <c r="G1704" s="3" t="s">
        <v>13</v>
      </c>
      <c r="H1704">
        <v>26220</v>
      </c>
      <c r="I1704">
        <v>18251.15466</v>
      </c>
      <c r="J1704">
        <v>7968.8453449999997</v>
      </c>
      <c r="K1704" s="5">
        <f>IF(Table1[[#This Row],[Revenue]]=0, 0, Table1[[#This Row],[Profit]]/Table1[[#This Row],[Revenue]])</f>
        <v>0.30392240064836001</v>
      </c>
    </row>
    <row r="1705" spans="1:11" x14ac:dyDescent="0.35">
      <c r="A1705" s="1">
        <v>45306</v>
      </c>
      <c r="B1705" s="3" t="s">
        <v>10</v>
      </c>
      <c r="C1705" s="3" t="s">
        <v>28</v>
      </c>
      <c r="D1705" s="3" t="s">
        <v>30</v>
      </c>
      <c r="E1705" s="4">
        <v>16</v>
      </c>
      <c r="F1705" s="4">
        <v>1332</v>
      </c>
      <c r="G1705" s="3" t="s">
        <v>16</v>
      </c>
      <c r="H1705">
        <v>21312</v>
      </c>
      <c r="I1705">
        <v>18696.62241</v>
      </c>
      <c r="J1705">
        <v>2615.3775869999999</v>
      </c>
      <c r="K1705" s="5">
        <f>IF(Table1[[#This Row],[Revenue]]=0, 0, Table1[[#This Row],[Profit]]/Table1[[#This Row],[Revenue]])</f>
        <v>0.12271854293355855</v>
      </c>
    </row>
    <row r="1706" spans="1:11" x14ac:dyDescent="0.35">
      <c r="A1706" s="1">
        <v>45444</v>
      </c>
      <c r="B1706" s="3" t="s">
        <v>27</v>
      </c>
      <c r="C1706" s="3" t="s">
        <v>22</v>
      </c>
      <c r="D1706" s="3" t="s">
        <v>30</v>
      </c>
      <c r="E1706" s="4">
        <v>7</v>
      </c>
      <c r="F1706" s="4">
        <v>380</v>
      </c>
      <c r="G1706" s="3" t="s">
        <v>13</v>
      </c>
      <c r="H1706">
        <v>2660</v>
      </c>
      <c r="I1706">
        <v>1688.003473</v>
      </c>
      <c r="J1706">
        <v>971.99652749999996</v>
      </c>
      <c r="K1706" s="5">
        <f>IF(Table1[[#This Row],[Revenue]]=0, 0, Table1[[#This Row],[Profit]]/Table1[[#This Row],[Revenue]])</f>
        <v>0.3654122283834586</v>
      </c>
    </row>
    <row r="1707" spans="1:11" x14ac:dyDescent="0.35">
      <c r="A1707" s="1">
        <v>45513</v>
      </c>
      <c r="B1707" s="3" t="s">
        <v>10</v>
      </c>
      <c r="C1707" s="3" t="s">
        <v>22</v>
      </c>
      <c r="D1707" s="3" t="s">
        <v>15</v>
      </c>
      <c r="E1707" s="4">
        <v>8</v>
      </c>
      <c r="F1707" s="4">
        <v>542</v>
      </c>
      <c r="G1707" s="3" t="s">
        <v>13</v>
      </c>
      <c r="H1707">
        <v>4336</v>
      </c>
      <c r="I1707">
        <v>3015.2949640000002</v>
      </c>
      <c r="J1707">
        <v>1320.7050360000001</v>
      </c>
      <c r="K1707" s="5">
        <f>IF(Table1[[#This Row],[Revenue]]=0, 0, Table1[[#This Row],[Profit]]/Table1[[#This Row],[Revenue]])</f>
        <v>0.30459064483394838</v>
      </c>
    </row>
    <row r="1708" spans="1:11" x14ac:dyDescent="0.35">
      <c r="A1708" s="1">
        <v>45497</v>
      </c>
      <c r="B1708" s="3" t="s">
        <v>27</v>
      </c>
      <c r="C1708" s="3" t="s">
        <v>26</v>
      </c>
      <c r="D1708" s="3" t="s">
        <v>12</v>
      </c>
      <c r="E1708" s="4">
        <v>18</v>
      </c>
      <c r="F1708" s="4">
        <v>1963</v>
      </c>
      <c r="G1708" s="3" t="s">
        <v>19</v>
      </c>
      <c r="H1708">
        <v>35334</v>
      </c>
      <c r="I1708">
        <v>21530.727180000002</v>
      </c>
      <c r="J1708">
        <v>13803.27282</v>
      </c>
      <c r="K1708" s="5">
        <f>IF(Table1[[#This Row],[Revenue]]=0, 0, Table1[[#This Row],[Profit]]/Table1[[#This Row],[Revenue]])</f>
        <v>0.39065129393785025</v>
      </c>
    </row>
    <row r="1709" spans="1:11" x14ac:dyDescent="0.35">
      <c r="A1709" s="1">
        <v>45564</v>
      </c>
      <c r="B1709" s="3" t="s">
        <v>20</v>
      </c>
      <c r="C1709" s="3" t="s">
        <v>26</v>
      </c>
      <c r="D1709" s="3" t="s">
        <v>44</v>
      </c>
      <c r="E1709" s="4">
        <v>13</v>
      </c>
      <c r="F1709" s="4">
        <v>936</v>
      </c>
      <c r="G1709" s="3" t="s">
        <v>19</v>
      </c>
      <c r="H1709">
        <v>12168</v>
      </c>
      <c r="I1709">
        <v>8291.2376530000001</v>
      </c>
      <c r="J1709">
        <v>3876.7623469999999</v>
      </c>
      <c r="K1709" s="5">
        <f>IF(Table1[[#This Row],[Revenue]]=0, 0, Table1[[#This Row],[Profit]]/Table1[[#This Row],[Revenue]])</f>
        <v>0.31860308571663376</v>
      </c>
    </row>
    <row r="1710" spans="1:11" x14ac:dyDescent="0.35">
      <c r="A1710" s="1">
        <v>45527</v>
      </c>
      <c r="B1710" s="3" t="s">
        <v>23</v>
      </c>
      <c r="C1710" s="3" t="s">
        <v>11</v>
      </c>
      <c r="D1710" s="3" t="s">
        <v>25</v>
      </c>
      <c r="E1710" s="4">
        <v>9</v>
      </c>
      <c r="F1710" s="4">
        <v>488</v>
      </c>
      <c r="G1710" s="3" t="s">
        <v>13</v>
      </c>
      <c r="H1710">
        <v>4392</v>
      </c>
      <c r="I1710">
        <v>2922.7175499999998</v>
      </c>
      <c r="J1710">
        <v>1469.2824499999999</v>
      </c>
      <c r="K1710" s="5">
        <f>IF(Table1[[#This Row],[Revenue]]=0, 0, Table1[[#This Row],[Profit]]/Table1[[#This Row],[Revenue]])</f>
        <v>0.33453607695810561</v>
      </c>
    </row>
    <row r="1711" spans="1:11" x14ac:dyDescent="0.35">
      <c r="A1711" s="1">
        <v>45631</v>
      </c>
      <c r="B1711" s="3" t="s">
        <v>20</v>
      </c>
      <c r="C1711" s="3" t="s">
        <v>17</v>
      </c>
      <c r="D1711" s="3" t="s">
        <v>21</v>
      </c>
      <c r="E1711" s="4">
        <v>10</v>
      </c>
      <c r="F1711" s="4">
        <v>716</v>
      </c>
      <c r="G1711" s="3" t="s">
        <v>19</v>
      </c>
      <c r="H1711">
        <v>7160</v>
      </c>
      <c r="I1711">
        <v>4402.6070890000001</v>
      </c>
      <c r="J1711">
        <v>2757.3929109999999</v>
      </c>
      <c r="K1711" s="5">
        <f>IF(Table1[[#This Row],[Revenue]]=0, 0, Table1[[#This Row],[Profit]]/Table1[[#This Row],[Revenue]])</f>
        <v>0.3851107417597765</v>
      </c>
    </row>
    <row r="1712" spans="1:11" x14ac:dyDescent="0.35">
      <c r="A1712" s="1">
        <v>45519</v>
      </c>
      <c r="B1712" s="3" t="s">
        <v>20</v>
      </c>
      <c r="C1712" s="3" t="s">
        <v>17</v>
      </c>
      <c r="D1712" s="3" t="s">
        <v>21</v>
      </c>
      <c r="E1712" s="4">
        <v>9</v>
      </c>
      <c r="F1712" s="4">
        <v>1606</v>
      </c>
      <c r="G1712" s="3" t="s">
        <v>19</v>
      </c>
      <c r="H1712">
        <v>14454</v>
      </c>
      <c r="I1712">
        <v>10804.8307</v>
      </c>
      <c r="J1712">
        <v>3649.169304</v>
      </c>
      <c r="K1712" s="5">
        <f>IF(Table1[[#This Row],[Revenue]]=0, 0, Table1[[#This Row],[Profit]]/Table1[[#This Row],[Revenue]])</f>
        <v>0.25246778082191779</v>
      </c>
    </row>
    <row r="1713" spans="1:11" x14ac:dyDescent="0.35">
      <c r="A1713" s="1">
        <v>45300</v>
      </c>
      <c r="B1713" s="3" t="s">
        <v>10</v>
      </c>
      <c r="C1713" s="3" t="s">
        <v>11</v>
      </c>
      <c r="D1713" s="3" t="s">
        <v>25</v>
      </c>
      <c r="E1713" s="4">
        <v>15</v>
      </c>
      <c r="F1713" s="4">
        <v>246</v>
      </c>
      <c r="G1713" s="3" t="s">
        <v>13</v>
      </c>
      <c r="H1713">
        <v>3690</v>
      </c>
      <c r="I1713">
        <v>2732.7800980000002</v>
      </c>
      <c r="J1713">
        <v>957.21990170000004</v>
      </c>
      <c r="K1713" s="5">
        <f>IF(Table1[[#This Row],[Revenue]]=0, 0, Table1[[#This Row],[Profit]]/Table1[[#This Row],[Revenue]])</f>
        <v>0.25940918745257452</v>
      </c>
    </row>
    <row r="1714" spans="1:11" x14ac:dyDescent="0.35">
      <c r="A1714" s="1">
        <v>45457</v>
      </c>
      <c r="B1714" s="3" t="s">
        <v>27</v>
      </c>
      <c r="C1714" s="3" t="s">
        <v>40</v>
      </c>
      <c r="D1714" s="3" t="s">
        <v>30</v>
      </c>
      <c r="E1714" s="4">
        <v>2</v>
      </c>
      <c r="F1714" s="4">
        <v>1402</v>
      </c>
      <c r="G1714" s="3" t="s">
        <v>13</v>
      </c>
      <c r="H1714">
        <v>2804</v>
      </c>
      <c r="I1714">
        <v>1747.799467</v>
      </c>
      <c r="J1714">
        <v>1056.200533</v>
      </c>
      <c r="K1714" s="5">
        <f>IF(Table1[[#This Row],[Revenue]]=0, 0, Table1[[#This Row],[Profit]]/Table1[[#This Row],[Revenue]])</f>
        <v>0.37667636697574891</v>
      </c>
    </row>
    <row r="1715" spans="1:11" x14ac:dyDescent="0.35">
      <c r="A1715" s="1">
        <v>45610</v>
      </c>
      <c r="B1715" s="3" t="s">
        <v>23</v>
      </c>
      <c r="C1715" s="3" t="s">
        <v>24</v>
      </c>
      <c r="D1715" s="3" t="s">
        <v>15</v>
      </c>
      <c r="E1715" s="4">
        <v>13</v>
      </c>
      <c r="F1715" s="4">
        <v>620</v>
      </c>
      <c r="G1715" s="3" t="s">
        <v>19</v>
      </c>
      <c r="H1715">
        <v>8060</v>
      </c>
      <c r="I1715">
        <v>5469.1545850000002</v>
      </c>
      <c r="J1715">
        <v>2590.8454149999998</v>
      </c>
      <c r="K1715" s="5">
        <f>IF(Table1[[#This Row],[Revenue]]=0, 0, Table1[[#This Row],[Profit]]/Table1[[#This Row],[Revenue]])</f>
        <v>0.32144484057071959</v>
      </c>
    </row>
    <row r="1716" spans="1:11" x14ac:dyDescent="0.35">
      <c r="A1716" s="1">
        <v>45505</v>
      </c>
      <c r="B1716" s="3" t="s">
        <v>10</v>
      </c>
      <c r="C1716" s="3" t="s">
        <v>28</v>
      </c>
      <c r="D1716" s="3" t="s">
        <v>29</v>
      </c>
      <c r="E1716" s="4">
        <v>2</v>
      </c>
      <c r="F1716" s="4">
        <v>729</v>
      </c>
      <c r="G1716" s="3" t="s">
        <v>16</v>
      </c>
      <c r="H1716">
        <v>1458</v>
      </c>
      <c r="I1716">
        <v>1291.783113</v>
      </c>
      <c r="J1716">
        <v>166.21688700000001</v>
      </c>
      <c r="K1716" s="5">
        <f>IF(Table1[[#This Row],[Revenue]]=0, 0, Table1[[#This Row],[Profit]]/Table1[[#This Row],[Revenue]])</f>
        <v>0.11400335185185186</v>
      </c>
    </row>
    <row r="1717" spans="1:11" x14ac:dyDescent="0.35">
      <c r="A1717" s="1">
        <v>45408</v>
      </c>
      <c r="B1717" s="3" t="s">
        <v>10</v>
      </c>
      <c r="C1717" s="3" t="s">
        <v>22</v>
      </c>
      <c r="D1717" s="3" t="s">
        <v>25</v>
      </c>
      <c r="E1717" s="4">
        <v>19</v>
      </c>
      <c r="F1717" s="4">
        <v>1729</v>
      </c>
      <c r="G1717" s="3" t="s">
        <v>13</v>
      </c>
      <c r="H1717">
        <v>32851</v>
      </c>
      <c r="I1717">
        <v>20801.942660000001</v>
      </c>
      <c r="J1717">
        <v>12049.057339999999</v>
      </c>
      <c r="K1717" s="5">
        <f>IF(Table1[[#This Row],[Revenue]]=0, 0, Table1[[#This Row],[Profit]]/Table1[[#This Row],[Revenue]])</f>
        <v>0.36677901251103467</v>
      </c>
    </row>
    <row r="1718" spans="1:11" x14ac:dyDescent="0.35">
      <c r="A1718" s="1">
        <v>45635</v>
      </c>
      <c r="B1718" s="3" t="s">
        <v>10</v>
      </c>
      <c r="C1718" s="3" t="s">
        <v>14</v>
      </c>
      <c r="D1718" s="3" t="s">
        <v>12</v>
      </c>
      <c r="E1718" s="4">
        <v>2</v>
      </c>
      <c r="F1718" s="4">
        <v>533</v>
      </c>
      <c r="G1718" s="3" t="s">
        <v>16</v>
      </c>
      <c r="H1718">
        <v>1066</v>
      </c>
      <c r="I1718">
        <v>737.14496389999999</v>
      </c>
      <c r="J1718">
        <v>328.85503610000001</v>
      </c>
      <c r="K1718" s="5">
        <f>IF(Table1[[#This Row],[Revenue]]=0, 0, Table1[[#This Row],[Profit]]/Table1[[#This Row],[Revenue]])</f>
        <v>0.30849440534709194</v>
      </c>
    </row>
    <row r="1719" spans="1:11" x14ac:dyDescent="0.35">
      <c r="A1719" s="1">
        <v>45363</v>
      </c>
      <c r="B1719" s="3" t="s">
        <v>20</v>
      </c>
      <c r="C1719" s="3" t="s">
        <v>11</v>
      </c>
      <c r="D1719" s="3" t="s">
        <v>32</v>
      </c>
      <c r="E1719" s="4">
        <v>3</v>
      </c>
      <c r="F1719" s="4">
        <v>243</v>
      </c>
      <c r="G1719" s="3" t="s">
        <v>13</v>
      </c>
      <c r="H1719">
        <v>729</v>
      </c>
      <c r="I1719">
        <v>445.24310650000001</v>
      </c>
      <c r="J1719">
        <v>283.75689349999999</v>
      </c>
      <c r="K1719" s="5">
        <f>IF(Table1[[#This Row],[Revenue]]=0, 0, Table1[[#This Row],[Profit]]/Table1[[#This Row],[Revenue]])</f>
        <v>0.389241280521262</v>
      </c>
    </row>
    <row r="1720" spans="1:11" x14ac:dyDescent="0.35">
      <c r="A1720" s="1">
        <v>45355</v>
      </c>
      <c r="B1720" s="3" t="s">
        <v>27</v>
      </c>
      <c r="C1720" s="3" t="s">
        <v>31</v>
      </c>
      <c r="D1720" s="3" t="s">
        <v>18</v>
      </c>
      <c r="E1720" s="4">
        <v>6</v>
      </c>
      <c r="F1720" s="4">
        <v>388</v>
      </c>
      <c r="G1720" s="3" t="s">
        <v>19</v>
      </c>
      <c r="H1720">
        <v>2328</v>
      </c>
      <c r="I1720">
        <v>1500.7828219999999</v>
      </c>
      <c r="J1720">
        <v>827.21717769999998</v>
      </c>
      <c r="K1720" s="5">
        <f>IF(Table1[[#This Row],[Revenue]]=0, 0, Table1[[#This Row],[Profit]]/Table1[[#This Row],[Revenue]])</f>
        <v>0.35533383921821304</v>
      </c>
    </row>
    <row r="1721" spans="1:11" x14ac:dyDescent="0.35">
      <c r="A1721" s="1">
        <v>45496</v>
      </c>
      <c r="B1721" s="3" t="s">
        <v>27</v>
      </c>
      <c r="C1721" s="3" t="s">
        <v>17</v>
      </c>
      <c r="D1721" s="3" t="s">
        <v>12</v>
      </c>
      <c r="E1721" s="4">
        <v>3</v>
      </c>
      <c r="F1721" s="4">
        <v>1509</v>
      </c>
      <c r="G1721" s="3" t="s">
        <v>19</v>
      </c>
      <c r="H1721">
        <v>4527</v>
      </c>
      <c r="I1721">
        <v>3666.0512119999999</v>
      </c>
      <c r="J1721">
        <v>860.94878840000001</v>
      </c>
      <c r="K1721" s="5">
        <f>IF(Table1[[#This Row],[Revenue]]=0, 0, Table1[[#This Row],[Profit]]/Table1[[#This Row],[Revenue]])</f>
        <v>0.19018086777115087</v>
      </c>
    </row>
    <row r="1722" spans="1:11" x14ac:dyDescent="0.35">
      <c r="A1722" s="1">
        <v>45500</v>
      </c>
      <c r="B1722" s="3" t="s">
        <v>23</v>
      </c>
      <c r="C1722" s="3" t="s">
        <v>11</v>
      </c>
      <c r="D1722" s="3" t="s">
        <v>25</v>
      </c>
      <c r="E1722" s="4">
        <v>10</v>
      </c>
      <c r="F1722" s="4">
        <v>113</v>
      </c>
      <c r="G1722" s="3" t="s">
        <v>13</v>
      </c>
      <c r="H1722">
        <v>1130</v>
      </c>
      <c r="I1722">
        <v>802.31689370000004</v>
      </c>
      <c r="J1722">
        <v>327.68310630000002</v>
      </c>
      <c r="K1722" s="5">
        <f>IF(Table1[[#This Row],[Revenue]]=0, 0, Table1[[#This Row],[Profit]]/Table1[[#This Row],[Revenue]])</f>
        <v>0.28998504982300888</v>
      </c>
    </row>
    <row r="1723" spans="1:11" x14ac:dyDescent="0.35">
      <c r="A1723" s="1">
        <v>45363</v>
      </c>
      <c r="B1723" s="3" t="s">
        <v>27</v>
      </c>
      <c r="C1723" s="3" t="s">
        <v>43</v>
      </c>
      <c r="D1723" s="3" t="s">
        <v>29</v>
      </c>
      <c r="E1723" s="4">
        <v>6</v>
      </c>
      <c r="F1723" s="4">
        <v>356</v>
      </c>
      <c r="G1723" s="3" t="s">
        <v>19</v>
      </c>
      <c r="H1723">
        <v>2136</v>
      </c>
      <c r="I1723">
        <v>1571.2906660000001</v>
      </c>
      <c r="J1723">
        <v>564.70933349999996</v>
      </c>
      <c r="K1723" s="5">
        <f>IF(Table1[[#This Row],[Revenue]]=0, 0, Table1[[#This Row],[Profit]]/Table1[[#This Row],[Revenue]])</f>
        <v>0.26437702879213482</v>
      </c>
    </row>
    <row r="1724" spans="1:11" x14ac:dyDescent="0.35">
      <c r="A1724" s="1">
        <v>45568</v>
      </c>
      <c r="B1724" s="3" t="s">
        <v>27</v>
      </c>
      <c r="C1724" s="3" t="s">
        <v>31</v>
      </c>
      <c r="D1724" s="3" t="s">
        <v>30</v>
      </c>
      <c r="E1724" s="4">
        <v>16</v>
      </c>
      <c r="F1724" s="4">
        <v>1469</v>
      </c>
      <c r="G1724" s="3" t="s">
        <v>19</v>
      </c>
      <c r="H1724">
        <v>23504</v>
      </c>
      <c r="I1724">
        <v>15209.28606</v>
      </c>
      <c r="J1724">
        <v>8294.7139399999996</v>
      </c>
      <c r="K1724" s="5">
        <f>IF(Table1[[#This Row],[Revenue]]=0, 0, Table1[[#This Row],[Profit]]/Table1[[#This Row],[Revenue]])</f>
        <v>0.35290648144996595</v>
      </c>
    </row>
    <row r="1725" spans="1:11" x14ac:dyDescent="0.35">
      <c r="A1725" s="1">
        <v>45565</v>
      </c>
      <c r="B1725" s="3" t="s">
        <v>10</v>
      </c>
      <c r="C1725" s="3" t="s">
        <v>31</v>
      </c>
      <c r="D1725" s="3" t="s">
        <v>32</v>
      </c>
      <c r="E1725" s="4">
        <v>17</v>
      </c>
      <c r="F1725" s="4">
        <v>1821</v>
      </c>
      <c r="G1725" s="3" t="s">
        <v>19</v>
      </c>
      <c r="H1725">
        <v>30957</v>
      </c>
      <c r="I1725">
        <v>24909.304</v>
      </c>
      <c r="J1725">
        <v>6047.6959999999999</v>
      </c>
      <c r="K1725" s="5">
        <f>IF(Table1[[#This Row],[Revenue]]=0, 0, Table1[[#This Row],[Profit]]/Table1[[#This Row],[Revenue]])</f>
        <v>0.19535794812158799</v>
      </c>
    </row>
    <row r="1726" spans="1:11" x14ac:dyDescent="0.35">
      <c r="A1726" s="1">
        <v>45611</v>
      </c>
      <c r="B1726" s="3" t="s">
        <v>10</v>
      </c>
      <c r="C1726" s="3" t="s">
        <v>24</v>
      </c>
      <c r="D1726" s="3" t="s">
        <v>32</v>
      </c>
      <c r="E1726" s="4">
        <v>19</v>
      </c>
      <c r="F1726" s="4">
        <v>1468</v>
      </c>
      <c r="G1726" s="3" t="s">
        <v>19</v>
      </c>
      <c r="H1726">
        <v>27892</v>
      </c>
      <c r="I1726">
        <v>23023.632119999998</v>
      </c>
      <c r="J1726">
        <v>4868.3678760000003</v>
      </c>
      <c r="K1726" s="5">
        <f>IF(Table1[[#This Row],[Revenue]]=0, 0, Table1[[#This Row],[Profit]]/Table1[[#This Row],[Revenue]])</f>
        <v>0.17454352057937761</v>
      </c>
    </row>
    <row r="1727" spans="1:11" x14ac:dyDescent="0.35">
      <c r="A1727" s="1">
        <v>45629</v>
      </c>
      <c r="B1727" s="3" t="s">
        <v>20</v>
      </c>
      <c r="C1727" s="3" t="s">
        <v>24</v>
      </c>
      <c r="D1727" s="3" t="s">
        <v>44</v>
      </c>
      <c r="E1727" s="4">
        <v>3</v>
      </c>
      <c r="F1727" s="4">
        <v>1523</v>
      </c>
      <c r="G1727" s="3" t="s">
        <v>19</v>
      </c>
      <c r="H1727">
        <v>4569</v>
      </c>
      <c r="I1727">
        <v>2989.6502860000001</v>
      </c>
      <c r="J1727">
        <v>1579.3497139999999</v>
      </c>
      <c r="K1727" s="5">
        <f>IF(Table1[[#This Row],[Revenue]]=0, 0, Table1[[#This Row],[Profit]]/Table1[[#This Row],[Revenue]])</f>
        <v>0.34566638520463994</v>
      </c>
    </row>
    <row r="1728" spans="1:11" x14ac:dyDescent="0.35">
      <c r="A1728" s="1">
        <v>45657</v>
      </c>
      <c r="B1728" s="3" t="s">
        <v>10</v>
      </c>
      <c r="C1728" s="3" t="s">
        <v>14</v>
      </c>
      <c r="D1728" s="3" t="s">
        <v>21</v>
      </c>
      <c r="E1728" s="4">
        <v>18</v>
      </c>
      <c r="F1728" s="4">
        <v>1330</v>
      </c>
      <c r="G1728" s="3" t="s">
        <v>16</v>
      </c>
      <c r="H1728">
        <v>23940</v>
      </c>
      <c r="I1728">
        <v>14687.14306</v>
      </c>
      <c r="J1728">
        <v>9252.8569439999992</v>
      </c>
      <c r="K1728" s="5">
        <f>IF(Table1[[#This Row],[Revenue]]=0, 0, Table1[[#This Row],[Profit]]/Table1[[#This Row],[Revenue]])</f>
        <v>0.38650196090225558</v>
      </c>
    </row>
    <row r="1729" spans="1:11" x14ac:dyDescent="0.35">
      <c r="A1729" s="1">
        <v>45386</v>
      </c>
      <c r="B1729" s="3" t="s">
        <v>10</v>
      </c>
      <c r="C1729" s="3" t="s">
        <v>14</v>
      </c>
      <c r="D1729" s="3" t="s">
        <v>18</v>
      </c>
      <c r="E1729" s="4">
        <v>7</v>
      </c>
      <c r="F1729" s="4">
        <v>957</v>
      </c>
      <c r="G1729" s="3" t="s">
        <v>16</v>
      </c>
      <c r="H1729">
        <v>6699</v>
      </c>
      <c r="I1729">
        <v>4182.0673980000001</v>
      </c>
      <c r="J1729">
        <v>2516.9326019999999</v>
      </c>
      <c r="K1729" s="5">
        <f>IF(Table1[[#This Row],[Revenue]]=0, 0, Table1[[#This Row],[Profit]]/Table1[[#This Row],[Revenue]])</f>
        <v>0.37571765965069409</v>
      </c>
    </row>
    <row r="1730" spans="1:11" x14ac:dyDescent="0.35">
      <c r="A1730" s="1">
        <v>45457</v>
      </c>
      <c r="B1730" s="3" t="s">
        <v>10</v>
      </c>
      <c r="C1730" s="3" t="s">
        <v>31</v>
      </c>
      <c r="D1730" s="3" t="s">
        <v>30</v>
      </c>
      <c r="E1730" s="4">
        <v>9</v>
      </c>
      <c r="F1730" s="4">
        <v>1042</v>
      </c>
      <c r="G1730" s="3" t="s">
        <v>19</v>
      </c>
      <c r="H1730">
        <v>9378</v>
      </c>
      <c r="I1730">
        <v>7475.3325329999998</v>
      </c>
      <c r="J1730">
        <v>1902.667467</v>
      </c>
      <c r="K1730" s="5">
        <f>IF(Table1[[#This Row],[Revenue]]=0, 0, Table1[[#This Row],[Profit]]/Table1[[#This Row],[Revenue]])</f>
        <v>0.20288627287268074</v>
      </c>
    </row>
    <row r="1731" spans="1:11" x14ac:dyDescent="0.35">
      <c r="A1731" s="1">
        <v>45323</v>
      </c>
      <c r="B1731" s="3" t="s">
        <v>10</v>
      </c>
      <c r="C1731" s="3" t="s">
        <v>28</v>
      </c>
      <c r="D1731" s="3" t="s">
        <v>30</v>
      </c>
      <c r="E1731" s="4">
        <v>12</v>
      </c>
      <c r="F1731" s="4">
        <v>1295</v>
      </c>
      <c r="G1731" s="3" t="s">
        <v>16</v>
      </c>
      <c r="H1731">
        <v>15540</v>
      </c>
      <c r="I1731">
        <v>9955.7504289999997</v>
      </c>
      <c r="J1731">
        <v>5584.2495710000003</v>
      </c>
      <c r="K1731" s="5">
        <f>IF(Table1[[#This Row],[Revenue]]=0, 0, Table1[[#This Row],[Profit]]/Table1[[#This Row],[Revenue]])</f>
        <v>0.35934681924066925</v>
      </c>
    </row>
    <row r="1732" spans="1:11" x14ac:dyDescent="0.35">
      <c r="A1732" s="1">
        <v>45302</v>
      </c>
      <c r="B1732" s="3" t="s">
        <v>20</v>
      </c>
      <c r="C1732" s="3" t="s">
        <v>24</v>
      </c>
      <c r="D1732" s="3" t="s">
        <v>32</v>
      </c>
      <c r="E1732" s="4">
        <v>5</v>
      </c>
      <c r="F1732" s="4">
        <v>563</v>
      </c>
      <c r="G1732" s="3" t="s">
        <v>19</v>
      </c>
      <c r="H1732">
        <v>2815</v>
      </c>
      <c r="I1732">
        <v>2106.1144549999999</v>
      </c>
      <c r="J1732">
        <v>708.88554450000004</v>
      </c>
      <c r="K1732" s="5">
        <f>IF(Table1[[#This Row],[Revenue]]=0, 0, Table1[[#This Row],[Profit]]/Table1[[#This Row],[Revenue]])</f>
        <v>0.25182434973357015</v>
      </c>
    </row>
    <row r="1733" spans="1:11" x14ac:dyDescent="0.35">
      <c r="A1733" s="1">
        <v>45592</v>
      </c>
      <c r="B1733" s="3" t="s">
        <v>10</v>
      </c>
      <c r="C1733" s="3" t="s">
        <v>22</v>
      </c>
      <c r="D1733" s="3" t="s">
        <v>30</v>
      </c>
      <c r="E1733" s="4">
        <v>3</v>
      </c>
      <c r="F1733" s="4">
        <v>369</v>
      </c>
      <c r="G1733" s="3" t="s">
        <v>13</v>
      </c>
      <c r="H1733">
        <v>1107</v>
      </c>
      <c r="I1733">
        <v>714.89225239999996</v>
      </c>
      <c r="J1733">
        <v>392.10774759999998</v>
      </c>
      <c r="K1733" s="5">
        <f>IF(Table1[[#This Row],[Revenue]]=0, 0, Table1[[#This Row],[Profit]]/Table1[[#This Row],[Revenue]])</f>
        <v>0.35420754074074073</v>
      </c>
    </row>
    <row r="1734" spans="1:11" x14ac:dyDescent="0.35">
      <c r="A1734" s="1">
        <v>45508</v>
      </c>
      <c r="B1734" s="3" t="s">
        <v>23</v>
      </c>
      <c r="C1734" s="3" t="s">
        <v>31</v>
      </c>
      <c r="D1734" s="3" t="s">
        <v>18</v>
      </c>
      <c r="E1734" s="4">
        <v>11</v>
      </c>
      <c r="F1734" s="4">
        <v>1344</v>
      </c>
      <c r="G1734" s="3" t="s">
        <v>19</v>
      </c>
      <c r="H1734">
        <v>14784</v>
      </c>
      <c r="I1734">
        <v>9625.0406230000008</v>
      </c>
      <c r="J1734">
        <v>5158.9593770000001</v>
      </c>
      <c r="K1734" s="5">
        <f>IF(Table1[[#This Row],[Revenue]]=0, 0, Table1[[#This Row],[Profit]]/Table1[[#This Row],[Revenue]])</f>
        <v>0.34895558556547618</v>
      </c>
    </row>
    <row r="1735" spans="1:11" x14ac:dyDescent="0.35">
      <c r="A1735" s="1">
        <v>45580</v>
      </c>
      <c r="B1735" s="3" t="s">
        <v>23</v>
      </c>
      <c r="C1735" s="3" t="s">
        <v>22</v>
      </c>
      <c r="D1735" s="3" t="s">
        <v>18</v>
      </c>
      <c r="E1735" s="4">
        <v>4</v>
      </c>
      <c r="F1735" s="4">
        <v>1275</v>
      </c>
      <c r="G1735" s="3" t="s">
        <v>13</v>
      </c>
      <c r="H1735">
        <v>5100</v>
      </c>
      <c r="I1735">
        <v>3066.67157</v>
      </c>
      <c r="J1735">
        <v>2033.32843</v>
      </c>
      <c r="K1735" s="5">
        <f>IF(Table1[[#This Row],[Revenue]]=0, 0, Table1[[#This Row],[Profit]]/Table1[[#This Row],[Revenue]])</f>
        <v>0.39869184901960786</v>
      </c>
    </row>
    <row r="1736" spans="1:11" x14ac:dyDescent="0.35">
      <c r="A1736" s="1">
        <v>45393</v>
      </c>
      <c r="B1736" s="3" t="s">
        <v>23</v>
      </c>
      <c r="C1736" s="3" t="s">
        <v>22</v>
      </c>
      <c r="D1736" s="3" t="s">
        <v>15</v>
      </c>
      <c r="E1736" s="4">
        <v>5</v>
      </c>
      <c r="F1736" s="4">
        <v>722</v>
      </c>
      <c r="G1736" s="3" t="s">
        <v>13</v>
      </c>
      <c r="H1736">
        <v>3610</v>
      </c>
      <c r="I1736">
        <v>2513.4526689999998</v>
      </c>
      <c r="J1736">
        <v>1096.547331</v>
      </c>
      <c r="K1736" s="5">
        <f>IF(Table1[[#This Row],[Revenue]]=0, 0, Table1[[#This Row],[Profit]]/Table1[[#This Row],[Revenue]])</f>
        <v>0.30375272326869807</v>
      </c>
    </row>
    <row r="1737" spans="1:11" x14ac:dyDescent="0.35">
      <c r="A1737" s="1">
        <v>45558</v>
      </c>
      <c r="B1737" s="3" t="s">
        <v>23</v>
      </c>
      <c r="C1737" s="3" t="s">
        <v>31</v>
      </c>
      <c r="D1737" s="3" t="s">
        <v>25</v>
      </c>
      <c r="E1737" s="4">
        <v>1</v>
      </c>
      <c r="F1737" s="4">
        <v>1306</v>
      </c>
      <c r="G1737" s="3" t="s">
        <v>19</v>
      </c>
      <c r="H1737">
        <v>1306</v>
      </c>
      <c r="I1737">
        <v>818.78256880000004</v>
      </c>
      <c r="J1737">
        <v>487.21743120000002</v>
      </c>
      <c r="K1737" s="5">
        <f>IF(Table1[[#This Row],[Revenue]]=0, 0, Table1[[#This Row],[Profit]]/Table1[[#This Row],[Revenue]])</f>
        <v>0.37306082021439513</v>
      </c>
    </row>
    <row r="1738" spans="1:11" x14ac:dyDescent="0.35">
      <c r="A1738" s="1">
        <v>45505</v>
      </c>
      <c r="B1738" s="3" t="s">
        <v>10</v>
      </c>
      <c r="C1738" s="3" t="s">
        <v>34</v>
      </c>
      <c r="D1738" s="3" t="s">
        <v>25</v>
      </c>
      <c r="E1738" s="4">
        <v>18</v>
      </c>
      <c r="F1738" s="4">
        <v>1522</v>
      </c>
      <c r="G1738" s="3" t="s">
        <v>19</v>
      </c>
      <c r="H1738">
        <v>27396</v>
      </c>
      <c r="I1738">
        <v>19675.48893</v>
      </c>
      <c r="J1738">
        <v>7720.5110699999996</v>
      </c>
      <c r="K1738" s="5">
        <f>IF(Table1[[#This Row],[Revenue]]=0, 0, Table1[[#This Row],[Profit]]/Table1[[#This Row],[Revenue]])</f>
        <v>0.28181161738939992</v>
      </c>
    </row>
    <row r="1739" spans="1:11" x14ac:dyDescent="0.35">
      <c r="A1739" s="1">
        <v>45470</v>
      </c>
      <c r="B1739" s="3" t="s">
        <v>23</v>
      </c>
      <c r="C1739" s="3" t="s">
        <v>28</v>
      </c>
      <c r="D1739" s="3" t="s">
        <v>15</v>
      </c>
      <c r="E1739" s="4">
        <v>12</v>
      </c>
      <c r="F1739" s="4">
        <v>1974</v>
      </c>
      <c r="G1739" s="3" t="s">
        <v>16</v>
      </c>
      <c r="H1739">
        <v>23688</v>
      </c>
      <c r="I1739">
        <v>18460.894420000001</v>
      </c>
      <c r="J1739">
        <v>5227.1055820000001</v>
      </c>
      <c r="K1739" s="5">
        <f>IF(Table1[[#This Row],[Revenue]]=0, 0, Table1[[#This Row],[Profit]]/Table1[[#This Row],[Revenue]])</f>
        <v>0.22066470710908478</v>
      </c>
    </row>
    <row r="1740" spans="1:11" x14ac:dyDescent="0.35">
      <c r="A1740" s="1">
        <v>45379</v>
      </c>
      <c r="B1740" s="3" t="s">
        <v>10</v>
      </c>
      <c r="C1740" s="3" t="s">
        <v>31</v>
      </c>
      <c r="D1740" s="3" t="s">
        <v>29</v>
      </c>
      <c r="E1740" s="4">
        <v>13</v>
      </c>
      <c r="F1740" s="4">
        <v>171</v>
      </c>
      <c r="G1740" s="3" t="s">
        <v>19</v>
      </c>
      <c r="H1740">
        <v>2223</v>
      </c>
      <c r="I1740">
        <v>1578.907056</v>
      </c>
      <c r="J1740">
        <v>644.09294390000002</v>
      </c>
      <c r="K1740" s="5">
        <f>IF(Table1[[#This Row],[Revenue]]=0, 0, Table1[[#This Row],[Profit]]/Table1[[#This Row],[Revenue]])</f>
        <v>0.28974041560953667</v>
      </c>
    </row>
    <row r="1741" spans="1:11" x14ac:dyDescent="0.35">
      <c r="A1741" s="1">
        <v>45332</v>
      </c>
      <c r="B1741" s="3" t="s">
        <v>20</v>
      </c>
      <c r="C1741" s="3" t="s">
        <v>14</v>
      </c>
      <c r="D1741" s="3" t="s">
        <v>44</v>
      </c>
      <c r="E1741" s="4">
        <v>9</v>
      </c>
      <c r="F1741" s="4">
        <v>1541</v>
      </c>
      <c r="G1741" s="3" t="s">
        <v>16</v>
      </c>
      <c r="H1741">
        <v>13869</v>
      </c>
      <c r="I1741">
        <v>11255.03314</v>
      </c>
      <c r="J1741">
        <v>2613.9668590000001</v>
      </c>
      <c r="K1741" s="5">
        <f>IF(Table1[[#This Row],[Revenue]]=0, 0, Table1[[#This Row],[Profit]]/Table1[[#This Row],[Revenue]])</f>
        <v>0.18847551077943617</v>
      </c>
    </row>
    <row r="1742" spans="1:11" x14ac:dyDescent="0.35">
      <c r="A1742" s="1">
        <v>45367</v>
      </c>
      <c r="B1742" s="3" t="s">
        <v>23</v>
      </c>
      <c r="C1742" s="3" t="s">
        <v>31</v>
      </c>
      <c r="D1742" s="3" t="s">
        <v>18</v>
      </c>
      <c r="E1742" s="4">
        <v>2</v>
      </c>
      <c r="F1742" s="4">
        <v>1406</v>
      </c>
      <c r="G1742" s="3" t="s">
        <v>19</v>
      </c>
      <c r="H1742">
        <v>2812</v>
      </c>
      <c r="I1742">
        <v>2312.6887120000001</v>
      </c>
      <c r="J1742">
        <v>499.31128849999999</v>
      </c>
      <c r="K1742" s="5">
        <f>IF(Table1[[#This Row],[Revenue]]=0, 0, Table1[[#This Row],[Profit]]/Table1[[#This Row],[Revenue]])</f>
        <v>0.1775644695945946</v>
      </c>
    </row>
    <row r="1743" spans="1:11" x14ac:dyDescent="0.35">
      <c r="A1743" s="1">
        <v>45337</v>
      </c>
      <c r="B1743" s="3" t="s">
        <v>27</v>
      </c>
      <c r="C1743" s="3" t="s">
        <v>24</v>
      </c>
      <c r="D1743" s="3" t="s">
        <v>18</v>
      </c>
      <c r="E1743" s="4">
        <v>5</v>
      </c>
      <c r="F1743" s="4">
        <v>173</v>
      </c>
      <c r="G1743" s="3" t="s">
        <v>19</v>
      </c>
      <c r="H1743">
        <v>865</v>
      </c>
      <c r="I1743">
        <v>699.76935749999996</v>
      </c>
      <c r="J1743">
        <v>165.23064249999999</v>
      </c>
      <c r="K1743" s="5">
        <f>IF(Table1[[#This Row],[Revenue]]=0, 0, Table1[[#This Row],[Profit]]/Table1[[#This Row],[Revenue]])</f>
        <v>0.19101808381502888</v>
      </c>
    </row>
    <row r="1744" spans="1:11" x14ac:dyDescent="0.35">
      <c r="A1744" s="1">
        <v>45451</v>
      </c>
      <c r="B1744" s="3" t="s">
        <v>23</v>
      </c>
      <c r="C1744" s="3" t="s">
        <v>31</v>
      </c>
      <c r="D1744" s="3" t="s">
        <v>25</v>
      </c>
      <c r="E1744" s="4">
        <v>13</v>
      </c>
      <c r="F1744" s="4">
        <v>454</v>
      </c>
      <c r="G1744" s="3" t="s">
        <v>19</v>
      </c>
      <c r="H1744">
        <v>5902</v>
      </c>
      <c r="I1744">
        <v>5199.7450289999997</v>
      </c>
      <c r="J1744">
        <v>702.25497129999997</v>
      </c>
      <c r="K1744" s="5">
        <f>IF(Table1[[#This Row],[Revenue]]=0, 0, Table1[[#This Row],[Profit]]/Table1[[#This Row],[Revenue]])</f>
        <v>0.11898593210776008</v>
      </c>
    </row>
    <row r="1745" spans="1:11" x14ac:dyDescent="0.35">
      <c r="A1745" s="1">
        <v>45371</v>
      </c>
      <c r="B1745" s="3" t="s">
        <v>23</v>
      </c>
      <c r="C1745" s="3" t="s">
        <v>43</v>
      </c>
      <c r="D1745" s="3" t="s">
        <v>18</v>
      </c>
      <c r="E1745" s="4">
        <v>16</v>
      </c>
      <c r="F1745" s="4">
        <v>1850</v>
      </c>
      <c r="G1745" s="3" t="s">
        <v>19</v>
      </c>
      <c r="H1745">
        <v>29600</v>
      </c>
      <c r="I1745">
        <v>19867.173180000002</v>
      </c>
      <c r="J1745">
        <v>9732.8268200000002</v>
      </c>
      <c r="K1745" s="5">
        <f>IF(Table1[[#This Row],[Revenue]]=0, 0, Table1[[#This Row],[Profit]]/Table1[[#This Row],[Revenue]])</f>
        <v>0.32881171689189193</v>
      </c>
    </row>
    <row r="1746" spans="1:11" x14ac:dyDescent="0.35">
      <c r="A1746" s="1">
        <v>45601</v>
      </c>
      <c r="B1746" s="3" t="s">
        <v>10</v>
      </c>
      <c r="C1746" s="3" t="s">
        <v>24</v>
      </c>
      <c r="D1746" s="3" t="s">
        <v>15</v>
      </c>
      <c r="E1746" s="4">
        <v>16</v>
      </c>
      <c r="F1746" s="4">
        <v>596</v>
      </c>
      <c r="G1746" s="3" t="s">
        <v>19</v>
      </c>
      <c r="H1746">
        <v>9536</v>
      </c>
      <c r="I1746">
        <v>6263.5970209999996</v>
      </c>
      <c r="J1746">
        <v>3272.402979</v>
      </c>
      <c r="K1746" s="5">
        <f>IF(Table1[[#This Row],[Revenue]]=0, 0, Table1[[#This Row],[Profit]]/Table1[[#This Row],[Revenue]])</f>
        <v>0.34316306407298658</v>
      </c>
    </row>
    <row r="1747" spans="1:11" x14ac:dyDescent="0.35">
      <c r="A1747" s="1">
        <v>45377</v>
      </c>
      <c r="B1747" s="3" t="s">
        <v>23</v>
      </c>
      <c r="C1747" s="3" t="s">
        <v>14</v>
      </c>
      <c r="D1747" s="3" t="s">
        <v>32</v>
      </c>
      <c r="E1747" s="4">
        <v>3</v>
      </c>
      <c r="F1747" s="4">
        <v>1451</v>
      </c>
      <c r="G1747" s="3" t="s">
        <v>16</v>
      </c>
      <c r="H1747">
        <v>4353</v>
      </c>
      <c r="I1747">
        <v>3408.022234</v>
      </c>
      <c r="J1747">
        <v>944.97776620000002</v>
      </c>
      <c r="K1747" s="5">
        <f>IF(Table1[[#This Row],[Revenue]]=0, 0, Table1[[#This Row],[Profit]]/Table1[[#This Row],[Revenue]])</f>
        <v>0.2170865532276591</v>
      </c>
    </row>
    <row r="1748" spans="1:11" x14ac:dyDescent="0.35">
      <c r="A1748" s="1">
        <v>45439</v>
      </c>
      <c r="B1748" s="3" t="s">
        <v>10</v>
      </c>
      <c r="C1748" s="3" t="s">
        <v>26</v>
      </c>
      <c r="D1748" s="3" t="s">
        <v>30</v>
      </c>
      <c r="E1748" s="4">
        <v>11</v>
      </c>
      <c r="F1748" s="4">
        <v>1658</v>
      </c>
      <c r="G1748" s="3" t="s">
        <v>19</v>
      </c>
      <c r="H1748">
        <v>18238</v>
      </c>
      <c r="I1748">
        <v>13733.75202</v>
      </c>
      <c r="J1748">
        <v>4504.247977</v>
      </c>
      <c r="K1748" s="5">
        <f>IF(Table1[[#This Row],[Revenue]]=0, 0, Table1[[#This Row],[Profit]]/Table1[[#This Row],[Revenue]])</f>
        <v>0.24697049989033884</v>
      </c>
    </row>
    <row r="1749" spans="1:11" x14ac:dyDescent="0.35">
      <c r="A1749" s="1">
        <v>45452</v>
      </c>
      <c r="B1749" s="3" t="s">
        <v>10</v>
      </c>
      <c r="C1749" s="3" t="s">
        <v>22</v>
      </c>
      <c r="D1749" s="3" t="s">
        <v>12</v>
      </c>
      <c r="E1749" s="4">
        <v>14</v>
      </c>
      <c r="F1749" s="4">
        <v>679</v>
      </c>
      <c r="G1749" s="3" t="s">
        <v>13</v>
      </c>
      <c r="H1749">
        <v>9506</v>
      </c>
      <c r="I1749">
        <v>5716.0144319999999</v>
      </c>
      <c r="J1749">
        <v>3789.9855680000001</v>
      </c>
      <c r="K1749" s="5">
        <f>IF(Table1[[#This Row],[Revenue]]=0, 0, Table1[[#This Row],[Profit]]/Table1[[#This Row],[Revenue]])</f>
        <v>0.39869404249947404</v>
      </c>
    </row>
    <row r="1750" spans="1:11" x14ac:dyDescent="0.35">
      <c r="A1750" s="1">
        <v>45493</v>
      </c>
      <c r="B1750" s="3" t="s">
        <v>20</v>
      </c>
      <c r="C1750" s="3" t="s">
        <v>28</v>
      </c>
      <c r="D1750" s="3" t="s">
        <v>12</v>
      </c>
      <c r="E1750" s="4">
        <v>3</v>
      </c>
      <c r="F1750" s="4">
        <v>1009</v>
      </c>
      <c r="G1750" s="3" t="s">
        <v>16</v>
      </c>
      <c r="H1750">
        <v>3027</v>
      </c>
      <c r="I1750">
        <v>2320.4118370000001</v>
      </c>
      <c r="J1750">
        <v>706.58816339999998</v>
      </c>
      <c r="K1750" s="5">
        <f>IF(Table1[[#This Row],[Revenue]]=0, 0, Table1[[#This Row],[Profit]]/Table1[[#This Row],[Revenue]])</f>
        <v>0.23342853102081268</v>
      </c>
    </row>
    <row r="1751" spans="1:11" x14ac:dyDescent="0.35">
      <c r="A1751" s="1">
        <v>45533</v>
      </c>
      <c r="B1751" s="3" t="s">
        <v>20</v>
      </c>
      <c r="C1751" s="3" t="s">
        <v>22</v>
      </c>
      <c r="D1751" s="3" t="s">
        <v>32</v>
      </c>
      <c r="E1751" s="4">
        <v>16</v>
      </c>
      <c r="F1751" s="4">
        <v>1570</v>
      </c>
      <c r="G1751" s="3" t="s">
        <v>13</v>
      </c>
      <c r="H1751">
        <v>25120</v>
      </c>
      <c r="I1751">
        <v>22101.566159999998</v>
      </c>
      <c r="J1751">
        <v>3018.4338429999998</v>
      </c>
      <c r="K1751" s="5">
        <f>IF(Table1[[#This Row],[Revenue]]=0, 0, Table1[[#This Row],[Profit]]/Table1[[#This Row],[Revenue]])</f>
        <v>0.12016058292197451</v>
      </c>
    </row>
    <row r="1752" spans="1:11" x14ac:dyDescent="0.35">
      <c r="A1752" s="1">
        <v>45644</v>
      </c>
      <c r="B1752" s="3" t="s">
        <v>23</v>
      </c>
      <c r="C1752" s="3" t="s">
        <v>17</v>
      </c>
      <c r="D1752" s="3" t="s">
        <v>21</v>
      </c>
      <c r="E1752" s="4">
        <v>15</v>
      </c>
      <c r="F1752" s="4">
        <v>472</v>
      </c>
      <c r="G1752" s="3" t="s">
        <v>19</v>
      </c>
      <c r="H1752">
        <v>7080</v>
      </c>
      <c r="I1752">
        <v>4958.6430120000005</v>
      </c>
      <c r="J1752">
        <v>2121.356988</v>
      </c>
      <c r="K1752" s="5">
        <f>IF(Table1[[#This Row],[Revenue]]=0, 0, Table1[[#This Row],[Profit]]/Table1[[#This Row],[Revenue]])</f>
        <v>0.29962669322033897</v>
      </c>
    </row>
    <row r="1753" spans="1:11" x14ac:dyDescent="0.35">
      <c r="A1753" s="1">
        <v>45293</v>
      </c>
      <c r="B1753" s="3" t="s">
        <v>20</v>
      </c>
      <c r="C1753" s="3" t="s">
        <v>11</v>
      </c>
      <c r="D1753" s="3" t="s">
        <v>15</v>
      </c>
      <c r="E1753" s="4">
        <v>10</v>
      </c>
      <c r="F1753" s="4">
        <v>461</v>
      </c>
      <c r="G1753" s="3" t="s">
        <v>13</v>
      </c>
      <c r="H1753">
        <v>4610</v>
      </c>
      <c r="I1753">
        <v>4104.1896839999999</v>
      </c>
      <c r="J1753">
        <v>505.81031560000002</v>
      </c>
      <c r="K1753" s="5">
        <f>IF(Table1[[#This Row],[Revenue]]=0, 0, Table1[[#This Row],[Profit]]/Table1[[#This Row],[Revenue]])</f>
        <v>0.1097202419956616</v>
      </c>
    </row>
    <row r="1754" spans="1:11" x14ac:dyDescent="0.35">
      <c r="A1754" s="1">
        <v>45516</v>
      </c>
      <c r="B1754" s="3" t="s">
        <v>20</v>
      </c>
      <c r="C1754" s="3" t="s">
        <v>14</v>
      </c>
      <c r="D1754" s="3" t="s">
        <v>18</v>
      </c>
      <c r="E1754" s="4">
        <v>9</v>
      </c>
      <c r="F1754" s="4">
        <v>192</v>
      </c>
      <c r="G1754" s="3" t="s">
        <v>16</v>
      </c>
      <c r="H1754">
        <v>1728</v>
      </c>
      <c r="I1754">
        <v>1221.7426620000001</v>
      </c>
      <c r="J1754">
        <v>506.25733750000001</v>
      </c>
      <c r="K1754" s="5">
        <f>IF(Table1[[#This Row],[Revenue]]=0, 0, Table1[[#This Row],[Profit]]/Table1[[#This Row],[Revenue]])</f>
        <v>0.29297299623842593</v>
      </c>
    </row>
    <row r="1755" spans="1:11" x14ac:dyDescent="0.35">
      <c r="A1755" s="1">
        <v>45580</v>
      </c>
      <c r="B1755" s="3" t="s">
        <v>20</v>
      </c>
      <c r="C1755" s="3" t="s">
        <v>28</v>
      </c>
      <c r="D1755" s="3" t="s">
        <v>25</v>
      </c>
      <c r="E1755" s="4">
        <v>11</v>
      </c>
      <c r="F1755" s="4">
        <v>1444</v>
      </c>
      <c r="G1755" s="3" t="s">
        <v>16</v>
      </c>
      <c r="H1755">
        <v>15884</v>
      </c>
      <c r="I1755">
        <v>10196.83468</v>
      </c>
      <c r="J1755">
        <v>5687.1653249999999</v>
      </c>
      <c r="K1755" s="5">
        <f>IF(Table1[[#This Row],[Revenue]]=0, 0, Table1[[#This Row],[Profit]]/Table1[[#This Row],[Revenue]])</f>
        <v>0.35804364926970533</v>
      </c>
    </row>
    <row r="1756" spans="1:11" x14ac:dyDescent="0.35">
      <c r="A1756" s="1">
        <v>45524</v>
      </c>
      <c r="B1756" s="3" t="s">
        <v>10</v>
      </c>
      <c r="C1756" s="3" t="s">
        <v>14</v>
      </c>
      <c r="D1756" s="3" t="s">
        <v>32</v>
      </c>
      <c r="E1756" s="4">
        <v>16</v>
      </c>
      <c r="F1756" s="4">
        <v>423</v>
      </c>
      <c r="G1756" s="3" t="s">
        <v>16</v>
      </c>
      <c r="H1756">
        <v>6768</v>
      </c>
      <c r="I1756">
        <v>4869.7182940000002</v>
      </c>
      <c r="J1756">
        <v>1898.281706</v>
      </c>
      <c r="K1756" s="5">
        <f>IF(Table1[[#This Row],[Revenue]]=0, 0, Table1[[#This Row],[Profit]]/Table1[[#This Row],[Revenue]])</f>
        <v>0.28047897547281325</v>
      </c>
    </row>
    <row r="1757" spans="1:11" x14ac:dyDescent="0.35">
      <c r="A1757" s="1">
        <v>45368</v>
      </c>
      <c r="B1757" s="3" t="s">
        <v>10</v>
      </c>
      <c r="C1757" s="3" t="s">
        <v>26</v>
      </c>
      <c r="D1757" s="3" t="s">
        <v>15</v>
      </c>
      <c r="E1757" s="4">
        <v>10</v>
      </c>
      <c r="F1757" s="4">
        <v>483</v>
      </c>
      <c r="G1757" s="3" t="s">
        <v>19</v>
      </c>
      <c r="H1757">
        <v>4830</v>
      </c>
      <c r="I1757">
        <v>3614.6917920000001</v>
      </c>
      <c r="J1757">
        <v>1215.3082079999999</v>
      </c>
      <c r="K1757" s="5">
        <f>IF(Table1[[#This Row],[Revenue]]=0, 0, Table1[[#This Row],[Profit]]/Table1[[#This Row],[Revenue]])</f>
        <v>0.25161660621118009</v>
      </c>
    </row>
    <row r="1758" spans="1:11" x14ac:dyDescent="0.35">
      <c r="A1758" s="1">
        <v>45407</v>
      </c>
      <c r="B1758" s="3" t="s">
        <v>10</v>
      </c>
      <c r="C1758" s="3" t="s">
        <v>22</v>
      </c>
      <c r="D1758" s="3" t="s">
        <v>32</v>
      </c>
      <c r="E1758" s="4">
        <v>17</v>
      </c>
      <c r="F1758" s="4">
        <v>674</v>
      </c>
      <c r="G1758" s="3" t="s">
        <v>13</v>
      </c>
      <c r="H1758">
        <v>11458</v>
      </c>
      <c r="I1758">
        <v>9038.5209639999994</v>
      </c>
      <c r="J1758">
        <v>2419.4790360000002</v>
      </c>
      <c r="K1758" s="5">
        <f>IF(Table1[[#This Row],[Revenue]]=0, 0, Table1[[#This Row],[Profit]]/Table1[[#This Row],[Revenue]])</f>
        <v>0.21116067690696458</v>
      </c>
    </row>
    <row r="1759" spans="1:11" x14ac:dyDescent="0.35">
      <c r="A1759" s="1">
        <v>45445</v>
      </c>
      <c r="B1759" s="3" t="s">
        <v>20</v>
      </c>
      <c r="C1759" s="3" t="s">
        <v>14</v>
      </c>
      <c r="D1759" s="3" t="s">
        <v>29</v>
      </c>
      <c r="E1759" s="4">
        <v>19</v>
      </c>
      <c r="F1759" s="4">
        <v>835</v>
      </c>
      <c r="G1759" s="3" t="s">
        <v>16</v>
      </c>
      <c r="H1759">
        <v>15865</v>
      </c>
      <c r="I1759">
        <v>11921.96761</v>
      </c>
      <c r="J1759">
        <v>3943.0323880000001</v>
      </c>
      <c r="K1759" s="5">
        <f>IF(Table1[[#This Row],[Revenue]]=0, 0, Table1[[#This Row],[Profit]]/Table1[[#This Row],[Revenue]])</f>
        <v>0.24853655140245826</v>
      </c>
    </row>
    <row r="1760" spans="1:11" x14ac:dyDescent="0.35">
      <c r="A1760" s="1">
        <v>45394</v>
      </c>
      <c r="B1760" s="3" t="s">
        <v>10</v>
      </c>
      <c r="C1760" s="3" t="s">
        <v>26</v>
      </c>
      <c r="D1760" s="3" t="s">
        <v>18</v>
      </c>
      <c r="E1760" s="4">
        <v>2</v>
      </c>
      <c r="F1760" s="4">
        <v>836</v>
      </c>
      <c r="G1760" s="3" t="s">
        <v>19</v>
      </c>
      <c r="H1760">
        <v>1672</v>
      </c>
      <c r="I1760">
        <v>1272.418064</v>
      </c>
      <c r="J1760">
        <v>399.58193649999998</v>
      </c>
      <c r="K1760" s="5">
        <f>IF(Table1[[#This Row],[Revenue]]=0, 0, Table1[[#This Row],[Profit]]/Table1[[#This Row],[Revenue]])</f>
        <v>0.23898441178229665</v>
      </c>
    </row>
    <row r="1761" spans="1:11" x14ac:dyDescent="0.35">
      <c r="A1761" s="1">
        <v>45485</v>
      </c>
      <c r="B1761" s="3" t="s">
        <v>20</v>
      </c>
      <c r="C1761" s="3" t="s">
        <v>17</v>
      </c>
      <c r="D1761" s="3" t="s">
        <v>29</v>
      </c>
      <c r="E1761" s="4">
        <v>2</v>
      </c>
      <c r="F1761" s="4">
        <v>445</v>
      </c>
      <c r="G1761" s="3" t="s">
        <v>19</v>
      </c>
      <c r="H1761">
        <v>890</v>
      </c>
      <c r="I1761">
        <v>540.4258992</v>
      </c>
      <c r="J1761">
        <v>349.5741008</v>
      </c>
      <c r="K1761" s="5">
        <f>IF(Table1[[#This Row],[Revenue]]=0, 0, Table1[[#This Row],[Profit]]/Table1[[#This Row],[Revenue]])</f>
        <v>0.39277988853932583</v>
      </c>
    </row>
    <row r="1762" spans="1:11" x14ac:dyDescent="0.35">
      <c r="A1762" s="1">
        <v>45457</v>
      </c>
      <c r="B1762" s="3" t="s">
        <v>10</v>
      </c>
      <c r="C1762" s="3" t="s">
        <v>17</v>
      </c>
      <c r="D1762" s="3" t="s">
        <v>18</v>
      </c>
      <c r="E1762" s="4">
        <v>6</v>
      </c>
      <c r="F1762" s="4">
        <v>1972</v>
      </c>
      <c r="G1762" s="3" t="s">
        <v>19</v>
      </c>
      <c r="H1762">
        <v>11832</v>
      </c>
      <c r="I1762">
        <v>7999.4501520000003</v>
      </c>
      <c r="J1762">
        <v>3832.5498480000001</v>
      </c>
      <c r="K1762" s="5">
        <f>IF(Table1[[#This Row],[Revenue]]=0, 0, Table1[[#This Row],[Profit]]/Table1[[#This Row],[Revenue]])</f>
        <v>0.32391394929006084</v>
      </c>
    </row>
    <row r="1763" spans="1:11" x14ac:dyDescent="0.35">
      <c r="A1763" s="1">
        <v>45650</v>
      </c>
      <c r="B1763" s="3" t="s">
        <v>10</v>
      </c>
      <c r="C1763" s="3" t="s">
        <v>11</v>
      </c>
      <c r="D1763" s="3" t="s">
        <v>15</v>
      </c>
      <c r="E1763" s="4">
        <v>19</v>
      </c>
      <c r="F1763" s="4">
        <v>1226</v>
      </c>
      <c r="G1763" s="3" t="s">
        <v>13</v>
      </c>
      <c r="H1763">
        <v>23294</v>
      </c>
      <c r="I1763">
        <v>16147.61039</v>
      </c>
      <c r="J1763">
        <v>7146.389615</v>
      </c>
      <c r="K1763" s="5">
        <f>IF(Table1[[#This Row],[Revenue]]=0, 0, Table1[[#This Row],[Profit]]/Table1[[#This Row],[Revenue]])</f>
        <v>0.30679100261870007</v>
      </c>
    </row>
    <row r="1764" spans="1:11" x14ac:dyDescent="0.35">
      <c r="A1764" s="1">
        <v>45381</v>
      </c>
      <c r="B1764" s="3" t="s">
        <v>27</v>
      </c>
      <c r="C1764" s="3" t="s">
        <v>14</v>
      </c>
      <c r="D1764" s="3" t="s">
        <v>30</v>
      </c>
      <c r="E1764" s="4">
        <v>8</v>
      </c>
      <c r="F1764" s="4">
        <v>1338</v>
      </c>
      <c r="G1764" s="3" t="s">
        <v>16</v>
      </c>
      <c r="H1764">
        <v>10704</v>
      </c>
      <c r="I1764">
        <v>9592.1387130000003</v>
      </c>
      <c r="J1764">
        <v>1111.8612869999999</v>
      </c>
      <c r="K1764" s="5">
        <f>IF(Table1[[#This Row],[Revenue]]=0, 0, Table1[[#This Row],[Profit]]/Table1[[#This Row],[Revenue]])</f>
        <v>0.10387343862107623</v>
      </c>
    </row>
    <row r="1765" spans="1:11" x14ac:dyDescent="0.35">
      <c r="A1765" s="1">
        <v>45465</v>
      </c>
      <c r="B1765" s="3" t="s">
        <v>23</v>
      </c>
      <c r="C1765" s="3" t="s">
        <v>11</v>
      </c>
      <c r="D1765" s="3" t="s">
        <v>32</v>
      </c>
      <c r="E1765" s="4">
        <v>3</v>
      </c>
      <c r="F1765" s="4">
        <v>1315</v>
      </c>
      <c r="G1765" s="3" t="s">
        <v>13</v>
      </c>
      <c r="H1765">
        <v>3945</v>
      </c>
      <c r="I1765">
        <v>2716.8044180000002</v>
      </c>
      <c r="J1765">
        <v>1228.1955820000001</v>
      </c>
      <c r="K1765" s="5">
        <f>IF(Table1[[#This Row],[Revenue]]=0, 0, Table1[[#This Row],[Profit]]/Table1[[#This Row],[Revenue]])</f>
        <v>0.31132967858048166</v>
      </c>
    </row>
    <row r="1766" spans="1:11" x14ac:dyDescent="0.35">
      <c r="A1766" s="1">
        <v>45413</v>
      </c>
      <c r="B1766" s="3" t="s">
        <v>20</v>
      </c>
      <c r="C1766" s="3" t="s">
        <v>24</v>
      </c>
      <c r="D1766" s="3" t="s">
        <v>32</v>
      </c>
      <c r="E1766" s="4">
        <v>14</v>
      </c>
      <c r="F1766" s="4">
        <v>1795</v>
      </c>
      <c r="G1766" s="3" t="s">
        <v>19</v>
      </c>
      <c r="H1766">
        <v>25130</v>
      </c>
      <c r="I1766">
        <v>21837.307939999999</v>
      </c>
      <c r="J1766">
        <v>3292.692059</v>
      </c>
      <c r="K1766" s="5">
        <f>IF(Table1[[#This Row],[Revenue]]=0, 0, Table1[[#This Row],[Profit]]/Table1[[#This Row],[Revenue]])</f>
        <v>0.13102634536410665</v>
      </c>
    </row>
    <row r="1767" spans="1:11" x14ac:dyDescent="0.35">
      <c r="A1767" s="1">
        <v>45434</v>
      </c>
      <c r="B1767" s="3" t="s">
        <v>27</v>
      </c>
      <c r="C1767" s="3" t="s">
        <v>28</v>
      </c>
      <c r="D1767" s="3" t="s">
        <v>21</v>
      </c>
      <c r="E1767" s="4">
        <v>16</v>
      </c>
      <c r="F1767" s="4">
        <v>818</v>
      </c>
      <c r="G1767" s="3" t="s">
        <v>16</v>
      </c>
      <c r="H1767">
        <v>13088</v>
      </c>
      <c r="I1767">
        <v>9049.3162179999999</v>
      </c>
      <c r="J1767">
        <v>4038.6837820000001</v>
      </c>
      <c r="K1767" s="5">
        <f>IF(Table1[[#This Row],[Revenue]]=0, 0, Table1[[#This Row],[Profit]]/Table1[[#This Row],[Revenue]])</f>
        <v>0.30857913982273838</v>
      </c>
    </row>
    <row r="1768" spans="1:11" x14ac:dyDescent="0.35">
      <c r="A1768" s="1">
        <v>45397</v>
      </c>
      <c r="B1768" s="3" t="s">
        <v>10</v>
      </c>
      <c r="C1768" s="3" t="s">
        <v>14</v>
      </c>
      <c r="D1768" s="3" t="s">
        <v>25</v>
      </c>
      <c r="E1768" s="4">
        <v>1</v>
      </c>
      <c r="F1768" s="4">
        <v>880</v>
      </c>
      <c r="G1768" s="3" t="s">
        <v>16</v>
      </c>
      <c r="H1768">
        <v>880</v>
      </c>
      <c r="I1768">
        <v>553.37312740000004</v>
      </c>
      <c r="J1768">
        <v>326.62687260000001</v>
      </c>
      <c r="K1768" s="5">
        <f>IF(Table1[[#This Row],[Revenue]]=0, 0, Table1[[#This Row],[Profit]]/Table1[[#This Row],[Revenue]])</f>
        <v>0.37116690068181818</v>
      </c>
    </row>
    <row r="1769" spans="1:11" x14ac:dyDescent="0.35">
      <c r="A1769" s="1">
        <v>45596</v>
      </c>
      <c r="B1769" s="3" t="s">
        <v>20</v>
      </c>
      <c r="C1769" s="3" t="s">
        <v>17</v>
      </c>
      <c r="D1769" s="3" t="s">
        <v>29</v>
      </c>
      <c r="E1769" s="4">
        <v>3</v>
      </c>
      <c r="F1769" s="4">
        <v>1119</v>
      </c>
      <c r="G1769" s="3" t="s">
        <v>19</v>
      </c>
      <c r="H1769">
        <v>3357</v>
      </c>
      <c r="I1769">
        <v>2263.5754830000001</v>
      </c>
      <c r="J1769">
        <v>1093.4245169999999</v>
      </c>
      <c r="K1769" s="5">
        <f>IF(Table1[[#This Row],[Revenue]]=0, 0, Table1[[#This Row],[Profit]]/Table1[[#This Row],[Revenue]])</f>
        <v>0.32571478016085786</v>
      </c>
    </row>
    <row r="1770" spans="1:11" x14ac:dyDescent="0.35">
      <c r="A1770" s="1">
        <v>45608</v>
      </c>
      <c r="B1770" s="3" t="s">
        <v>23</v>
      </c>
      <c r="C1770" s="3" t="s">
        <v>26</v>
      </c>
      <c r="D1770" s="3" t="s">
        <v>15</v>
      </c>
      <c r="E1770" s="4">
        <v>9</v>
      </c>
      <c r="F1770" s="4">
        <v>1503</v>
      </c>
      <c r="G1770" s="3" t="s">
        <v>19</v>
      </c>
      <c r="H1770">
        <v>13527</v>
      </c>
      <c r="I1770">
        <v>12086.03062</v>
      </c>
      <c r="J1770">
        <v>1440.9693810000001</v>
      </c>
      <c r="K1770" s="5">
        <f>IF(Table1[[#This Row],[Revenue]]=0, 0, Table1[[#This Row],[Profit]]/Table1[[#This Row],[Revenue]])</f>
        <v>0.10652542182302063</v>
      </c>
    </row>
    <row r="1771" spans="1:11" x14ac:dyDescent="0.35">
      <c r="A1771" s="1">
        <v>45414</v>
      </c>
      <c r="B1771" s="3" t="s">
        <v>27</v>
      </c>
      <c r="C1771" s="3" t="s">
        <v>31</v>
      </c>
      <c r="D1771" s="3" t="s">
        <v>30</v>
      </c>
      <c r="E1771" s="4">
        <v>6</v>
      </c>
      <c r="F1771" s="4">
        <v>1526</v>
      </c>
      <c r="G1771" s="3" t="s">
        <v>19</v>
      </c>
      <c r="H1771">
        <v>9156</v>
      </c>
      <c r="I1771">
        <v>7345.743907</v>
      </c>
      <c r="J1771">
        <v>1810.256093</v>
      </c>
      <c r="K1771" s="5">
        <f>IF(Table1[[#This Row],[Revenue]]=0, 0, Table1[[#This Row],[Profit]]/Table1[[#This Row],[Revenue]])</f>
        <v>0.19771254838357361</v>
      </c>
    </row>
    <row r="1772" spans="1:11" x14ac:dyDescent="0.35">
      <c r="A1772" s="1">
        <v>45300</v>
      </c>
      <c r="B1772" s="3" t="s">
        <v>23</v>
      </c>
      <c r="C1772" s="3" t="s">
        <v>11</v>
      </c>
      <c r="D1772" s="3" t="s">
        <v>25</v>
      </c>
      <c r="E1772" s="4">
        <v>1</v>
      </c>
      <c r="F1772" s="4">
        <v>763</v>
      </c>
      <c r="G1772" s="3" t="s">
        <v>13</v>
      </c>
      <c r="H1772">
        <v>763</v>
      </c>
      <c r="I1772">
        <v>671.06177990000003</v>
      </c>
      <c r="J1772">
        <v>91.938220099999995</v>
      </c>
      <c r="K1772" s="5">
        <f>IF(Table1[[#This Row],[Revenue]]=0, 0, Table1[[#This Row],[Profit]]/Table1[[#This Row],[Revenue]])</f>
        <v>0.12049570131061599</v>
      </c>
    </row>
    <row r="1773" spans="1:11" x14ac:dyDescent="0.35">
      <c r="A1773" s="1">
        <v>45553</v>
      </c>
      <c r="B1773" s="3" t="s">
        <v>27</v>
      </c>
      <c r="C1773" s="3" t="s">
        <v>31</v>
      </c>
      <c r="D1773" s="3" t="s">
        <v>15</v>
      </c>
      <c r="E1773" s="4">
        <v>10</v>
      </c>
      <c r="F1773" s="4">
        <v>1872</v>
      </c>
      <c r="G1773" s="3" t="s">
        <v>19</v>
      </c>
      <c r="H1773">
        <v>18720</v>
      </c>
      <c r="I1773">
        <v>15921.332039999999</v>
      </c>
      <c r="J1773">
        <v>2798.6679549999999</v>
      </c>
      <c r="K1773" s="5">
        <f>IF(Table1[[#This Row],[Revenue]]=0, 0, Table1[[#This Row],[Profit]]/Table1[[#This Row],[Revenue]])</f>
        <v>0.14950149332264956</v>
      </c>
    </row>
    <row r="1774" spans="1:11" x14ac:dyDescent="0.35">
      <c r="A1774" s="1">
        <v>45364</v>
      </c>
      <c r="B1774" s="3" t="s">
        <v>10</v>
      </c>
      <c r="C1774" s="3" t="s">
        <v>14</v>
      </c>
      <c r="D1774" s="3" t="s">
        <v>29</v>
      </c>
      <c r="E1774" s="4">
        <v>6</v>
      </c>
      <c r="F1774" s="4">
        <v>699</v>
      </c>
      <c r="G1774" s="3" t="s">
        <v>16</v>
      </c>
      <c r="H1774">
        <v>4194</v>
      </c>
      <c r="I1774">
        <v>3244.392621</v>
      </c>
      <c r="J1774">
        <v>949.60737900000004</v>
      </c>
      <c r="K1774" s="5">
        <f>IF(Table1[[#This Row],[Revenue]]=0, 0, Table1[[#This Row],[Profit]]/Table1[[#This Row],[Revenue]])</f>
        <v>0.22642045278969958</v>
      </c>
    </row>
    <row r="1775" spans="1:11" x14ac:dyDescent="0.35">
      <c r="A1775" s="1">
        <v>45650</v>
      </c>
      <c r="B1775" s="3" t="s">
        <v>23</v>
      </c>
      <c r="C1775" s="3" t="s">
        <v>22</v>
      </c>
      <c r="D1775" s="3" t="s">
        <v>21</v>
      </c>
      <c r="E1775" s="4">
        <v>12</v>
      </c>
      <c r="F1775" s="4">
        <v>110</v>
      </c>
      <c r="G1775" s="3" t="s">
        <v>13</v>
      </c>
      <c r="H1775">
        <v>1320</v>
      </c>
      <c r="I1775">
        <v>1059.453618</v>
      </c>
      <c r="J1775">
        <v>260.54638199999999</v>
      </c>
      <c r="K1775" s="5">
        <f>IF(Table1[[#This Row],[Revenue]]=0, 0, Table1[[#This Row],[Profit]]/Table1[[#This Row],[Revenue]])</f>
        <v>0.19738362272727272</v>
      </c>
    </row>
    <row r="1776" spans="1:11" x14ac:dyDescent="0.35">
      <c r="A1776" s="1">
        <v>45332</v>
      </c>
      <c r="B1776" s="3" t="s">
        <v>10</v>
      </c>
      <c r="C1776" s="3" t="s">
        <v>31</v>
      </c>
      <c r="D1776" s="3" t="s">
        <v>15</v>
      </c>
      <c r="E1776" s="4">
        <v>13</v>
      </c>
      <c r="F1776" s="4">
        <v>825</v>
      </c>
      <c r="G1776" s="3" t="s">
        <v>19</v>
      </c>
      <c r="H1776">
        <v>10725</v>
      </c>
      <c r="I1776">
        <v>8578.7012869999999</v>
      </c>
      <c r="J1776">
        <v>2146.2987130000001</v>
      </c>
      <c r="K1776" s="5">
        <f>IF(Table1[[#This Row],[Revenue]]=0, 0, Table1[[#This Row],[Profit]]/Table1[[#This Row],[Revenue]])</f>
        <v>0.20012109212121212</v>
      </c>
    </row>
    <row r="1777" spans="1:11" x14ac:dyDescent="0.35">
      <c r="A1777" s="1">
        <v>45495</v>
      </c>
      <c r="B1777" s="3" t="s">
        <v>23</v>
      </c>
      <c r="C1777" s="3" t="s">
        <v>28</v>
      </c>
      <c r="D1777" s="3" t="s">
        <v>25</v>
      </c>
      <c r="E1777" s="4">
        <v>17</v>
      </c>
      <c r="F1777" s="4">
        <v>1138</v>
      </c>
      <c r="G1777" s="3" t="s">
        <v>16</v>
      </c>
      <c r="H1777">
        <v>19346</v>
      </c>
      <c r="I1777">
        <v>13144.293390000001</v>
      </c>
      <c r="J1777">
        <v>6201.7066050000003</v>
      </c>
      <c r="K1777" s="5">
        <f>IF(Table1[[#This Row],[Revenue]]=0, 0, Table1[[#This Row],[Profit]]/Table1[[#This Row],[Revenue]])</f>
        <v>0.32056790059960716</v>
      </c>
    </row>
    <row r="1778" spans="1:11" x14ac:dyDescent="0.35">
      <c r="A1778" s="1">
        <v>45555</v>
      </c>
      <c r="B1778" s="3" t="s">
        <v>20</v>
      </c>
      <c r="C1778" s="3" t="s">
        <v>22</v>
      </c>
      <c r="D1778" s="3" t="s">
        <v>18</v>
      </c>
      <c r="E1778" s="4">
        <v>8</v>
      </c>
      <c r="F1778" s="4">
        <v>877</v>
      </c>
      <c r="G1778" s="3" t="s">
        <v>13</v>
      </c>
      <c r="H1778">
        <v>7016</v>
      </c>
      <c r="I1778">
        <v>5068.6217820000002</v>
      </c>
      <c r="J1778">
        <v>1947.3782180000001</v>
      </c>
      <c r="K1778" s="5">
        <f>IF(Table1[[#This Row],[Revenue]]=0, 0, Table1[[#This Row],[Profit]]/Table1[[#This Row],[Revenue]])</f>
        <v>0.27756245980615735</v>
      </c>
    </row>
    <row r="1779" spans="1:11" x14ac:dyDescent="0.35">
      <c r="A1779" s="1">
        <v>45619</v>
      </c>
      <c r="B1779" s="3" t="s">
        <v>27</v>
      </c>
      <c r="C1779" s="3" t="s">
        <v>26</v>
      </c>
      <c r="D1779" s="3" t="s">
        <v>30</v>
      </c>
      <c r="E1779" s="4">
        <v>3</v>
      </c>
      <c r="F1779" s="4">
        <v>1420</v>
      </c>
      <c r="G1779" s="3" t="s">
        <v>19</v>
      </c>
      <c r="H1779">
        <v>4260</v>
      </c>
      <c r="I1779">
        <v>3313.3630069999999</v>
      </c>
      <c r="J1779">
        <v>946.63699280000003</v>
      </c>
      <c r="K1779" s="5">
        <f>IF(Table1[[#This Row],[Revenue]]=0, 0, Table1[[#This Row],[Profit]]/Table1[[#This Row],[Revenue]])</f>
        <v>0.22221525652582161</v>
      </c>
    </row>
    <row r="1780" spans="1:11" x14ac:dyDescent="0.35">
      <c r="A1780" s="1">
        <v>45469</v>
      </c>
      <c r="B1780" s="3" t="s">
        <v>27</v>
      </c>
      <c r="C1780" s="3" t="s">
        <v>28</v>
      </c>
      <c r="D1780" s="3" t="s">
        <v>25</v>
      </c>
      <c r="E1780" s="4">
        <v>12</v>
      </c>
      <c r="F1780" s="4">
        <v>510</v>
      </c>
      <c r="G1780" s="3" t="s">
        <v>16</v>
      </c>
      <c r="H1780">
        <v>6120</v>
      </c>
      <c r="I1780">
        <v>3737.9646619999999</v>
      </c>
      <c r="J1780">
        <v>2382.0353380000001</v>
      </c>
      <c r="K1780" s="5">
        <f>IF(Table1[[#This Row],[Revenue]]=0, 0, Table1[[#This Row],[Profit]]/Table1[[#This Row],[Revenue]])</f>
        <v>0.38922146045751638</v>
      </c>
    </row>
    <row r="1781" spans="1:11" x14ac:dyDescent="0.35">
      <c r="A1781" s="1">
        <v>45639</v>
      </c>
      <c r="B1781" s="3" t="s">
        <v>27</v>
      </c>
      <c r="C1781" s="3" t="s">
        <v>22</v>
      </c>
      <c r="D1781" s="3" t="s">
        <v>15</v>
      </c>
      <c r="E1781" s="4">
        <v>7</v>
      </c>
      <c r="F1781" s="4">
        <v>1055</v>
      </c>
      <c r="G1781" s="3" t="s">
        <v>13</v>
      </c>
      <c r="H1781">
        <v>7385</v>
      </c>
      <c r="I1781">
        <v>5500.7207239999998</v>
      </c>
      <c r="J1781">
        <v>1884.279276</v>
      </c>
      <c r="K1781" s="5">
        <f>IF(Table1[[#This Row],[Revenue]]=0, 0, Table1[[#This Row],[Profit]]/Table1[[#This Row],[Revenue]])</f>
        <v>0.25514952958700066</v>
      </c>
    </row>
    <row r="1782" spans="1:11" x14ac:dyDescent="0.35">
      <c r="A1782" s="1">
        <v>45609</v>
      </c>
      <c r="B1782" s="3" t="s">
        <v>20</v>
      </c>
      <c r="C1782" s="3" t="s">
        <v>24</v>
      </c>
      <c r="D1782" s="3" t="s">
        <v>30</v>
      </c>
      <c r="E1782" s="4">
        <v>12</v>
      </c>
      <c r="F1782" s="4">
        <v>684</v>
      </c>
      <c r="G1782" s="3" t="s">
        <v>19</v>
      </c>
      <c r="H1782">
        <v>8208</v>
      </c>
      <c r="I1782">
        <v>7041.7916009999999</v>
      </c>
      <c r="J1782">
        <v>1166.2083990000001</v>
      </c>
      <c r="K1782" s="5">
        <f>IF(Table1[[#This Row],[Revenue]]=0, 0, Table1[[#This Row],[Profit]]/Table1[[#This Row],[Revenue]])</f>
        <v>0.14208191995614036</v>
      </c>
    </row>
    <row r="1783" spans="1:11" x14ac:dyDescent="0.35">
      <c r="A1783" s="1">
        <v>45375</v>
      </c>
      <c r="B1783" s="3" t="s">
        <v>27</v>
      </c>
      <c r="C1783" s="3" t="s">
        <v>11</v>
      </c>
      <c r="D1783" s="3" t="s">
        <v>32</v>
      </c>
      <c r="E1783" s="4">
        <v>2</v>
      </c>
      <c r="F1783" s="4">
        <v>1175</v>
      </c>
      <c r="G1783" s="3" t="s">
        <v>13</v>
      </c>
      <c r="H1783">
        <v>2350</v>
      </c>
      <c r="I1783">
        <v>1757.119248</v>
      </c>
      <c r="J1783">
        <v>592.8807521</v>
      </c>
      <c r="K1783" s="5">
        <f>IF(Table1[[#This Row],[Revenue]]=0, 0, Table1[[#This Row],[Profit]]/Table1[[#This Row],[Revenue]])</f>
        <v>0.25228968174468086</v>
      </c>
    </row>
    <row r="1784" spans="1:11" x14ac:dyDescent="0.35">
      <c r="A1784" s="1">
        <v>45609</v>
      </c>
      <c r="B1784" s="3" t="s">
        <v>10</v>
      </c>
      <c r="C1784" s="3" t="s">
        <v>17</v>
      </c>
      <c r="D1784" s="3" t="s">
        <v>18</v>
      </c>
      <c r="E1784" s="4">
        <v>14</v>
      </c>
      <c r="F1784" s="4">
        <v>1763</v>
      </c>
      <c r="G1784" s="3" t="s">
        <v>19</v>
      </c>
      <c r="H1784">
        <v>24682</v>
      </c>
      <c r="I1784">
        <v>18898.93362</v>
      </c>
      <c r="J1784">
        <v>5783.0663839999997</v>
      </c>
      <c r="K1784" s="5">
        <f>IF(Table1[[#This Row],[Revenue]]=0, 0, Table1[[#This Row],[Profit]]/Table1[[#This Row],[Revenue]])</f>
        <v>0.2343029893849769</v>
      </c>
    </row>
    <row r="1785" spans="1:11" x14ac:dyDescent="0.35">
      <c r="A1785" s="1">
        <v>45402</v>
      </c>
      <c r="B1785" s="3" t="s">
        <v>23</v>
      </c>
      <c r="C1785" s="3" t="s">
        <v>26</v>
      </c>
      <c r="D1785" s="3" t="s">
        <v>44</v>
      </c>
      <c r="E1785" s="4">
        <v>5</v>
      </c>
      <c r="F1785" s="4">
        <v>1151</v>
      </c>
      <c r="G1785" s="3" t="s">
        <v>19</v>
      </c>
      <c r="H1785">
        <v>5755</v>
      </c>
      <c r="I1785">
        <v>3801.589191</v>
      </c>
      <c r="J1785">
        <v>1953.410809</v>
      </c>
      <c r="K1785" s="5">
        <f>IF(Table1[[#This Row],[Revenue]]=0, 0, Table1[[#This Row],[Profit]]/Table1[[#This Row],[Revenue]])</f>
        <v>0.33942846377063424</v>
      </c>
    </row>
    <row r="1786" spans="1:11" x14ac:dyDescent="0.35">
      <c r="A1786" s="1">
        <v>45542</v>
      </c>
      <c r="B1786" s="3" t="s">
        <v>20</v>
      </c>
      <c r="C1786" s="3" t="s">
        <v>14</v>
      </c>
      <c r="D1786" s="3" t="s">
        <v>25</v>
      </c>
      <c r="E1786" s="4">
        <v>9</v>
      </c>
      <c r="F1786" s="4">
        <v>676</v>
      </c>
      <c r="G1786" s="3" t="s">
        <v>16</v>
      </c>
      <c r="H1786">
        <v>6084</v>
      </c>
      <c r="I1786">
        <v>5100.235471</v>
      </c>
      <c r="J1786">
        <v>983.76452859999995</v>
      </c>
      <c r="K1786" s="5">
        <f>IF(Table1[[#This Row],[Revenue]]=0, 0, Table1[[#This Row],[Profit]]/Table1[[#This Row],[Revenue]])</f>
        <v>0.16169699681130834</v>
      </c>
    </row>
    <row r="1787" spans="1:11" x14ac:dyDescent="0.35">
      <c r="A1787" s="1">
        <v>45298</v>
      </c>
      <c r="B1787" s="3" t="s">
        <v>27</v>
      </c>
      <c r="C1787" s="3" t="s">
        <v>28</v>
      </c>
      <c r="D1787" s="3" t="s">
        <v>21</v>
      </c>
      <c r="E1787" s="4">
        <v>-3</v>
      </c>
      <c r="F1787" s="4">
        <v>1140</v>
      </c>
      <c r="G1787" s="3" t="s">
        <v>16</v>
      </c>
      <c r="H1787">
        <v>-3420</v>
      </c>
      <c r="I1787">
        <v>-2420.209124</v>
      </c>
      <c r="J1787">
        <v>-999.79087649999997</v>
      </c>
      <c r="K1787" s="5">
        <f>IF(Table1[[#This Row],[Revenue]]=0, 0, Table1[[#This Row],[Profit]]/Table1[[#This Row],[Revenue]])</f>
        <v>0.29233651359649121</v>
      </c>
    </row>
    <row r="1788" spans="1:11" x14ac:dyDescent="0.35">
      <c r="A1788" s="1">
        <v>45375</v>
      </c>
      <c r="B1788" s="3" t="s">
        <v>10</v>
      </c>
      <c r="C1788" s="3" t="s">
        <v>28</v>
      </c>
      <c r="D1788" s="3" t="s">
        <v>18</v>
      </c>
      <c r="E1788" s="4">
        <v>5</v>
      </c>
      <c r="F1788" s="4">
        <v>1474</v>
      </c>
      <c r="G1788" s="3" t="s">
        <v>16</v>
      </c>
      <c r="H1788">
        <v>7370</v>
      </c>
      <c r="I1788">
        <v>6537.0150809999996</v>
      </c>
      <c r="J1788">
        <v>832.9849193</v>
      </c>
      <c r="K1788" s="5">
        <f>IF(Table1[[#This Row],[Revenue]]=0, 0, Table1[[#This Row],[Profit]]/Table1[[#This Row],[Revenue]])</f>
        <v>0.11302373396200814</v>
      </c>
    </row>
    <row r="1789" spans="1:11" x14ac:dyDescent="0.35">
      <c r="A1789" s="1">
        <v>45499</v>
      </c>
      <c r="B1789" s="3" t="s">
        <v>23</v>
      </c>
      <c r="C1789" s="3" t="s">
        <v>31</v>
      </c>
      <c r="D1789" s="3" t="s">
        <v>30</v>
      </c>
      <c r="E1789" s="4">
        <v>3</v>
      </c>
      <c r="F1789" s="4">
        <v>1551</v>
      </c>
      <c r="G1789" s="3" t="s">
        <v>19</v>
      </c>
      <c r="H1789">
        <v>4653</v>
      </c>
      <c r="I1789">
        <v>4178.9265009999999</v>
      </c>
      <c r="J1789">
        <v>474.07349920000001</v>
      </c>
      <c r="K1789" s="5">
        <f>IF(Table1[[#This Row],[Revenue]]=0, 0, Table1[[#This Row],[Profit]]/Table1[[#This Row],[Revenue]])</f>
        <v>0.10188555753277456</v>
      </c>
    </row>
    <row r="1790" spans="1:11" x14ac:dyDescent="0.35">
      <c r="A1790" s="1">
        <v>45605</v>
      </c>
      <c r="B1790" s="3" t="s">
        <v>23</v>
      </c>
      <c r="C1790" s="3" t="s">
        <v>11</v>
      </c>
      <c r="D1790" s="3" t="s">
        <v>32</v>
      </c>
      <c r="E1790" s="4">
        <v>17</v>
      </c>
      <c r="F1790" s="4">
        <v>1773</v>
      </c>
      <c r="G1790" s="3" t="s">
        <v>13</v>
      </c>
      <c r="H1790">
        <v>30141</v>
      </c>
      <c r="I1790">
        <v>26367.351709999999</v>
      </c>
      <c r="J1790">
        <v>3773.6482940000001</v>
      </c>
      <c r="K1790" s="5">
        <f>IF(Table1[[#This Row],[Revenue]]=0, 0, Table1[[#This Row],[Profit]]/Table1[[#This Row],[Revenue]])</f>
        <v>0.1251998372316778</v>
      </c>
    </row>
    <row r="1791" spans="1:11" x14ac:dyDescent="0.35">
      <c r="A1791" s="1">
        <v>45313</v>
      </c>
      <c r="B1791" s="3" t="s">
        <v>20</v>
      </c>
      <c r="C1791" s="3" t="s">
        <v>14</v>
      </c>
      <c r="D1791" s="3" t="s">
        <v>15</v>
      </c>
      <c r="E1791" s="4">
        <v>2</v>
      </c>
      <c r="F1791" s="4">
        <v>1954</v>
      </c>
      <c r="G1791" s="3" t="s">
        <v>16</v>
      </c>
      <c r="H1791">
        <v>3908</v>
      </c>
      <c r="I1791">
        <v>2444.3094959999999</v>
      </c>
      <c r="J1791">
        <v>1463.6905039999999</v>
      </c>
      <c r="K1791" s="5">
        <f>IF(Table1[[#This Row],[Revenue]]=0, 0, Table1[[#This Row],[Profit]]/Table1[[#This Row],[Revenue]])</f>
        <v>0.37453697645854656</v>
      </c>
    </row>
    <row r="1792" spans="1:11" x14ac:dyDescent="0.35">
      <c r="A1792" s="1">
        <v>45294</v>
      </c>
      <c r="B1792" s="3" t="s">
        <v>20</v>
      </c>
      <c r="C1792" s="3" t="s">
        <v>17</v>
      </c>
      <c r="D1792" s="3" t="s">
        <v>18</v>
      </c>
      <c r="E1792" s="4">
        <v>1</v>
      </c>
      <c r="F1792" s="4">
        <v>1352</v>
      </c>
      <c r="G1792" s="3" t="s">
        <v>19</v>
      </c>
      <c r="H1792">
        <v>1352</v>
      </c>
      <c r="I1792">
        <v>946.33908789999998</v>
      </c>
      <c r="J1792">
        <v>405.66091210000002</v>
      </c>
      <c r="K1792" s="5">
        <f>IF(Table1[[#This Row],[Revenue]]=0, 0, Table1[[#This Row],[Profit]]/Table1[[#This Row],[Revenue]])</f>
        <v>0.30004505332840237</v>
      </c>
    </row>
    <row r="1793" spans="1:11" x14ac:dyDescent="0.35">
      <c r="A1793" s="1">
        <v>45418</v>
      </c>
      <c r="B1793" s="3" t="s">
        <v>20</v>
      </c>
      <c r="C1793" s="3" t="s">
        <v>22</v>
      </c>
      <c r="D1793" s="3" t="s">
        <v>29</v>
      </c>
      <c r="E1793" s="4">
        <v>7</v>
      </c>
      <c r="F1793" s="4">
        <v>1889</v>
      </c>
      <c r="G1793" s="3" t="s">
        <v>13</v>
      </c>
      <c r="H1793">
        <v>13223</v>
      </c>
      <c r="I1793">
        <v>11683.06648</v>
      </c>
      <c r="J1793">
        <v>1539.9335149999999</v>
      </c>
      <c r="K1793" s="5">
        <f>IF(Table1[[#This Row],[Revenue]]=0, 0, Table1[[#This Row],[Profit]]/Table1[[#This Row],[Revenue]])</f>
        <v>0.11645870944566286</v>
      </c>
    </row>
    <row r="1794" spans="1:11" x14ac:dyDescent="0.35">
      <c r="A1794" s="1">
        <v>45588</v>
      </c>
      <c r="B1794" s="3" t="s">
        <v>10</v>
      </c>
      <c r="C1794" s="3" t="s">
        <v>17</v>
      </c>
      <c r="D1794" s="3" t="s">
        <v>30</v>
      </c>
      <c r="E1794" s="4">
        <v>14</v>
      </c>
      <c r="F1794" s="4">
        <v>1088</v>
      </c>
      <c r="G1794" s="3" t="s">
        <v>19</v>
      </c>
      <c r="H1794">
        <v>15232</v>
      </c>
      <c r="I1794">
        <v>12815.59534</v>
      </c>
      <c r="J1794">
        <v>2416.4046560000002</v>
      </c>
      <c r="K1794" s="5">
        <f>IF(Table1[[#This Row],[Revenue]]=0, 0, Table1[[#This Row],[Profit]]/Table1[[#This Row],[Revenue]])</f>
        <v>0.15864001155462185</v>
      </c>
    </row>
    <row r="1795" spans="1:11" x14ac:dyDescent="0.35">
      <c r="A1795" s="1">
        <v>45479</v>
      </c>
      <c r="B1795" s="3" t="s">
        <v>10</v>
      </c>
      <c r="C1795" s="3" t="s">
        <v>11</v>
      </c>
      <c r="D1795" s="3" t="s">
        <v>21</v>
      </c>
      <c r="E1795" s="4">
        <v>5</v>
      </c>
      <c r="F1795" s="4">
        <v>1333</v>
      </c>
      <c r="G1795" s="3" t="s">
        <v>13</v>
      </c>
      <c r="H1795">
        <v>6665</v>
      </c>
      <c r="I1795">
        <v>5820.9115869999996</v>
      </c>
      <c r="J1795">
        <v>844.08841319999999</v>
      </c>
      <c r="K1795" s="5">
        <f>IF(Table1[[#This Row],[Revenue]]=0, 0, Table1[[#This Row],[Profit]]/Table1[[#This Row],[Revenue]])</f>
        <v>0.1266449232108027</v>
      </c>
    </row>
    <row r="1796" spans="1:11" x14ac:dyDescent="0.35">
      <c r="A1796" s="1">
        <v>45653</v>
      </c>
      <c r="B1796" s="3" t="s">
        <v>20</v>
      </c>
      <c r="C1796" s="3" t="s">
        <v>11</v>
      </c>
      <c r="D1796" s="3" t="s">
        <v>25</v>
      </c>
      <c r="E1796" s="4">
        <v>19</v>
      </c>
      <c r="F1796" s="4">
        <v>1554</v>
      </c>
      <c r="G1796" s="3" t="s">
        <v>13</v>
      </c>
      <c r="H1796">
        <v>29526</v>
      </c>
      <c r="I1796">
        <v>22787.161680000001</v>
      </c>
      <c r="J1796">
        <v>6738.8383210000002</v>
      </c>
      <c r="K1796" s="5">
        <f>IF(Table1[[#This Row],[Revenue]]=0, 0, Table1[[#This Row],[Profit]]/Table1[[#This Row],[Revenue]])</f>
        <v>0.22823404189527874</v>
      </c>
    </row>
    <row r="1797" spans="1:11" x14ac:dyDescent="0.35">
      <c r="A1797" s="1">
        <v>45305</v>
      </c>
      <c r="B1797" s="3" t="s">
        <v>27</v>
      </c>
      <c r="C1797" s="3" t="s">
        <v>24</v>
      </c>
      <c r="D1797" s="3" t="s">
        <v>18</v>
      </c>
      <c r="E1797" s="4">
        <v>11</v>
      </c>
      <c r="F1797" s="4">
        <v>1417</v>
      </c>
      <c r="G1797" s="3" t="s">
        <v>19</v>
      </c>
      <c r="H1797">
        <v>15587</v>
      </c>
      <c r="I1797">
        <v>11598.587159999999</v>
      </c>
      <c r="J1797">
        <v>3988.4128380000002</v>
      </c>
      <c r="K1797" s="5">
        <f>IF(Table1[[#This Row],[Revenue]]=0, 0, Table1[[#This Row],[Profit]]/Table1[[#This Row],[Revenue]])</f>
        <v>0.25588072355167768</v>
      </c>
    </row>
    <row r="1798" spans="1:11" x14ac:dyDescent="0.35">
      <c r="A1798" s="1">
        <v>45303</v>
      </c>
      <c r="B1798" s="3" t="s">
        <v>23</v>
      </c>
      <c r="C1798" s="3" t="s">
        <v>24</v>
      </c>
      <c r="D1798" s="3" t="s">
        <v>21</v>
      </c>
      <c r="E1798" s="4">
        <v>2</v>
      </c>
      <c r="F1798" s="4">
        <v>842</v>
      </c>
      <c r="G1798" s="3" t="s">
        <v>19</v>
      </c>
      <c r="H1798">
        <v>1684</v>
      </c>
      <c r="I1798">
        <v>1064.201939</v>
      </c>
      <c r="J1798">
        <v>619.79806059999999</v>
      </c>
      <c r="K1798" s="5">
        <f>IF(Table1[[#This Row],[Revenue]]=0, 0, Table1[[#This Row],[Profit]]/Table1[[#This Row],[Revenue]])</f>
        <v>0.36805110486935866</v>
      </c>
    </row>
    <row r="1799" spans="1:11" x14ac:dyDescent="0.35">
      <c r="A1799" s="1">
        <v>45378</v>
      </c>
      <c r="B1799" s="3" t="s">
        <v>23</v>
      </c>
      <c r="C1799" s="3" t="s">
        <v>17</v>
      </c>
      <c r="D1799" s="3" t="s">
        <v>30</v>
      </c>
      <c r="E1799" s="4">
        <v>8</v>
      </c>
      <c r="F1799" s="4">
        <v>1876</v>
      </c>
      <c r="G1799" s="3" t="s">
        <v>19</v>
      </c>
      <c r="H1799">
        <v>15008</v>
      </c>
      <c r="I1799">
        <v>12784.436669999999</v>
      </c>
      <c r="J1799">
        <v>2223.5633280000002</v>
      </c>
      <c r="K1799" s="5">
        <f>IF(Table1[[#This Row],[Revenue]]=0, 0, Table1[[#This Row],[Profit]]/Table1[[#This Row],[Revenue]])</f>
        <v>0.14815853731343284</v>
      </c>
    </row>
    <row r="1800" spans="1:11" x14ac:dyDescent="0.35">
      <c r="A1800" s="1">
        <v>45303</v>
      </c>
      <c r="B1800" s="3" t="s">
        <v>10</v>
      </c>
      <c r="C1800" s="3" t="s">
        <v>22</v>
      </c>
      <c r="D1800" s="3" t="s">
        <v>21</v>
      </c>
      <c r="E1800" s="4">
        <v>9</v>
      </c>
      <c r="F1800" s="4">
        <v>1705</v>
      </c>
      <c r="G1800" s="3" t="s">
        <v>13</v>
      </c>
      <c r="H1800">
        <v>15345</v>
      </c>
      <c r="I1800">
        <v>12637.259120000001</v>
      </c>
      <c r="J1800">
        <v>2707.7408820000001</v>
      </c>
      <c r="K1800" s="5">
        <f>IF(Table1[[#This Row],[Revenue]]=0, 0, Table1[[#This Row],[Profit]]/Table1[[#This Row],[Revenue]])</f>
        <v>0.17645753548387097</v>
      </c>
    </row>
    <row r="1801" spans="1:11" x14ac:dyDescent="0.35">
      <c r="A1801" s="1">
        <v>45316</v>
      </c>
      <c r="B1801" s="3" t="s">
        <v>23</v>
      </c>
      <c r="C1801" s="3" t="s">
        <v>17</v>
      </c>
      <c r="D1801" s="3" t="s">
        <v>18</v>
      </c>
      <c r="E1801" s="4">
        <v>3</v>
      </c>
      <c r="F1801" s="4">
        <v>1227</v>
      </c>
      <c r="G1801" s="3" t="s">
        <v>19</v>
      </c>
      <c r="H1801">
        <v>3681</v>
      </c>
      <c r="I1801">
        <v>2273.6174329999999</v>
      </c>
      <c r="J1801">
        <v>1407.3825670000001</v>
      </c>
      <c r="K1801" s="5">
        <f>IF(Table1[[#This Row],[Revenue]]=0, 0, Table1[[#This Row],[Profit]]/Table1[[#This Row],[Revenue]])</f>
        <v>0.38233701901657163</v>
      </c>
    </row>
    <row r="1802" spans="1:11" x14ac:dyDescent="0.35">
      <c r="A1802" s="1">
        <v>45592</v>
      </c>
      <c r="B1802" s="3" t="s">
        <v>27</v>
      </c>
      <c r="C1802" s="3" t="s">
        <v>11</v>
      </c>
      <c r="D1802" s="3" t="s">
        <v>30</v>
      </c>
      <c r="E1802" s="4">
        <v>2</v>
      </c>
      <c r="F1802" s="4">
        <v>303</v>
      </c>
      <c r="G1802" s="3" t="s">
        <v>13</v>
      </c>
      <c r="H1802">
        <v>606</v>
      </c>
      <c r="I1802">
        <v>401.6715724</v>
      </c>
      <c r="J1802">
        <v>204.3284276</v>
      </c>
      <c r="K1802" s="5">
        <f>IF(Table1[[#This Row],[Revenue]]=0, 0, Table1[[#This Row],[Profit]]/Table1[[#This Row],[Revenue]])</f>
        <v>0.33717562310231025</v>
      </c>
    </row>
    <row r="1803" spans="1:11" x14ac:dyDescent="0.35">
      <c r="A1803" s="1">
        <v>45534</v>
      </c>
      <c r="B1803" s="3" t="s">
        <v>23</v>
      </c>
      <c r="C1803" s="3" t="s">
        <v>11</v>
      </c>
      <c r="D1803" s="3" t="s">
        <v>44</v>
      </c>
      <c r="E1803" s="4">
        <v>7</v>
      </c>
      <c r="F1803" s="4">
        <v>1176</v>
      </c>
      <c r="G1803" s="3" t="s">
        <v>13</v>
      </c>
      <c r="H1803">
        <v>8232</v>
      </c>
      <c r="I1803">
        <v>6315.4526699999997</v>
      </c>
      <c r="J1803">
        <v>1916.5473300000001</v>
      </c>
      <c r="K1803" s="5">
        <f>IF(Table1[[#This Row],[Revenue]]=0, 0, Table1[[#This Row],[Profit]]/Table1[[#This Row],[Revenue]])</f>
        <v>0.23281673104956269</v>
      </c>
    </row>
    <row r="1804" spans="1:11" x14ac:dyDescent="0.35">
      <c r="A1804" s="1">
        <v>45413</v>
      </c>
      <c r="B1804" s="3" t="s">
        <v>10</v>
      </c>
      <c r="C1804" s="3" t="s">
        <v>31</v>
      </c>
      <c r="D1804" s="3" t="s">
        <v>18</v>
      </c>
      <c r="E1804" s="4">
        <v>5</v>
      </c>
      <c r="F1804" s="4">
        <v>1073</v>
      </c>
      <c r="G1804" s="3" t="s">
        <v>19</v>
      </c>
      <c r="H1804">
        <v>5365</v>
      </c>
      <c r="I1804">
        <v>4320.545666</v>
      </c>
      <c r="J1804">
        <v>1044.454334</v>
      </c>
      <c r="K1804" s="5">
        <f>IF(Table1[[#This Row],[Revenue]]=0, 0, Table1[[#This Row],[Profit]]/Table1[[#This Row],[Revenue]])</f>
        <v>0.19467927940354149</v>
      </c>
    </row>
    <row r="1805" spans="1:11" x14ac:dyDescent="0.35">
      <c r="A1805" s="1">
        <v>45438</v>
      </c>
      <c r="B1805" s="3" t="s">
        <v>10</v>
      </c>
      <c r="C1805" s="3" t="s">
        <v>24</v>
      </c>
      <c r="D1805" s="3" t="s">
        <v>15</v>
      </c>
      <c r="E1805" s="4">
        <v>5</v>
      </c>
      <c r="F1805" s="4">
        <v>1039</v>
      </c>
      <c r="G1805" s="3" t="s">
        <v>19</v>
      </c>
      <c r="H1805">
        <v>5195</v>
      </c>
      <c r="I1805">
        <v>3331.559107</v>
      </c>
      <c r="J1805">
        <v>1863.440893</v>
      </c>
      <c r="K1805" s="5">
        <f>IF(Table1[[#This Row],[Revenue]]=0, 0, Table1[[#This Row],[Profit]]/Table1[[#This Row],[Revenue]])</f>
        <v>0.35869892069297399</v>
      </c>
    </row>
    <row r="1806" spans="1:11" x14ac:dyDescent="0.35">
      <c r="A1806" s="1">
        <v>45346</v>
      </c>
      <c r="B1806" s="3" t="s">
        <v>27</v>
      </c>
      <c r="C1806" s="3" t="s">
        <v>14</v>
      </c>
      <c r="D1806" s="3" t="s">
        <v>12</v>
      </c>
      <c r="E1806" s="4">
        <v>13</v>
      </c>
      <c r="F1806" s="4">
        <v>1498</v>
      </c>
      <c r="G1806" s="3" t="s">
        <v>16</v>
      </c>
      <c r="H1806">
        <v>19474</v>
      </c>
      <c r="I1806">
        <v>13114.715550000001</v>
      </c>
      <c r="J1806">
        <v>6359.2844459999997</v>
      </c>
      <c r="K1806" s="5">
        <f>IF(Table1[[#This Row],[Revenue]]=0, 0, Table1[[#This Row],[Profit]]/Table1[[#This Row],[Revenue]])</f>
        <v>0.32655255448290027</v>
      </c>
    </row>
    <row r="1807" spans="1:11" x14ac:dyDescent="0.35">
      <c r="A1807" s="1">
        <v>45529</v>
      </c>
      <c r="B1807" s="3" t="s">
        <v>27</v>
      </c>
      <c r="C1807" s="3" t="s">
        <v>14</v>
      </c>
      <c r="D1807" s="3" t="s">
        <v>32</v>
      </c>
      <c r="E1807" s="4">
        <v>6</v>
      </c>
      <c r="F1807" s="4">
        <v>1965</v>
      </c>
      <c r="G1807" s="3" t="s">
        <v>16</v>
      </c>
      <c r="H1807">
        <v>11790</v>
      </c>
      <c r="I1807">
        <v>7757.0308189999996</v>
      </c>
      <c r="J1807">
        <v>4032.9691809999999</v>
      </c>
      <c r="K1807" s="5">
        <f>IF(Table1[[#This Row],[Revenue]]=0, 0, Table1[[#This Row],[Profit]]/Table1[[#This Row],[Revenue]])</f>
        <v>0.34206693647158609</v>
      </c>
    </row>
    <row r="1808" spans="1:11" x14ac:dyDescent="0.35">
      <c r="A1808" s="1">
        <v>45647</v>
      </c>
      <c r="B1808" s="3" t="s">
        <v>23</v>
      </c>
      <c r="C1808" s="3" t="s">
        <v>14</v>
      </c>
      <c r="D1808" s="3" t="s">
        <v>18</v>
      </c>
      <c r="E1808" s="4">
        <v>18</v>
      </c>
      <c r="F1808" s="4">
        <v>1177</v>
      </c>
      <c r="G1808" s="3" t="s">
        <v>16</v>
      </c>
      <c r="H1808">
        <v>21186</v>
      </c>
      <c r="I1808">
        <v>14109.857900000001</v>
      </c>
      <c r="J1808">
        <v>7076.1420969999999</v>
      </c>
      <c r="K1808" s="5">
        <f>IF(Table1[[#This Row],[Revenue]]=0, 0, Table1[[#This Row],[Profit]]/Table1[[#This Row],[Revenue]])</f>
        <v>0.33400085419616726</v>
      </c>
    </row>
    <row r="1809" spans="1:11" x14ac:dyDescent="0.35">
      <c r="A1809" s="1">
        <v>45464</v>
      </c>
      <c r="B1809" s="3" t="s">
        <v>23</v>
      </c>
      <c r="C1809" s="3" t="s">
        <v>31</v>
      </c>
      <c r="D1809" s="3" t="s">
        <v>30</v>
      </c>
      <c r="E1809" s="4">
        <v>2</v>
      </c>
      <c r="F1809" s="4">
        <v>1399</v>
      </c>
      <c r="G1809" s="3" t="s">
        <v>19</v>
      </c>
      <c r="H1809">
        <v>2798</v>
      </c>
      <c r="I1809">
        <v>2451.646596</v>
      </c>
      <c r="J1809">
        <v>346.35340409999998</v>
      </c>
      <c r="K1809" s="5">
        <f>IF(Table1[[#This Row],[Revenue]]=0, 0, Table1[[#This Row],[Profit]]/Table1[[#This Row],[Revenue]])</f>
        <v>0.12378606293781272</v>
      </c>
    </row>
    <row r="1810" spans="1:11" x14ac:dyDescent="0.35">
      <c r="A1810" s="1">
        <v>45512</v>
      </c>
      <c r="B1810" s="3" t="s">
        <v>10</v>
      </c>
      <c r="C1810" s="3" t="s">
        <v>26</v>
      </c>
      <c r="D1810" s="3" t="s">
        <v>25</v>
      </c>
      <c r="E1810" s="4">
        <v>6</v>
      </c>
      <c r="F1810" s="4">
        <v>1458</v>
      </c>
      <c r="G1810" s="3" t="s">
        <v>19</v>
      </c>
      <c r="H1810">
        <v>8748</v>
      </c>
      <c r="I1810">
        <v>7127.3968869999999</v>
      </c>
      <c r="J1810">
        <v>1620.6031129999999</v>
      </c>
      <c r="K1810" s="5">
        <f>IF(Table1[[#This Row],[Revenue]]=0, 0, Table1[[#This Row],[Profit]]/Table1[[#This Row],[Revenue]])</f>
        <v>0.18525412814357567</v>
      </c>
    </row>
    <row r="1811" spans="1:11" x14ac:dyDescent="0.35">
      <c r="A1811" s="1">
        <v>45410</v>
      </c>
      <c r="B1811" s="3" t="s">
        <v>27</v>
      </c>
      <c r="C1811" s="3" t="s">
        <v>14</v>
      </c>
      <c r="D1811" s="3" t="s">
        <v>32</v>
      </c>
      <c r="E1811" s="4">
        <v>9</v>
      </c>
      <c r="F1811" s="4">
        <v>1154</v>
      </c>
      <c r="G1811" s="3" t="s">
        <v>16</v>
      </c>
      <c r="H1811">
        <v>10386</v>
      </c>
      <c r="I1811">
        <v>8528.2779300000002</v>
      </c>
      <c r="J1811">
        <v>1857.72207</v>
      </c>
      <c r="K1811" s="5">
        <f>IF(Table1[[#This Row],[Revenue]]=0, 0, Table1[[#This Row],[Profit]]/Table1[[#This Row],[Revenue]])</f>
        <v>0.1788679058347776</v>
      </c>
    </row>
    <row r="1812" spans="1:11" x14ac:dyDescent="0.35">
      <c r="A1812" s="1">
        <v>45600</v>
      </c>
      <c r="B1812" s="3" t="s">
        <v>27</v>
      </c>
      <c r="C1812" s="3" t="s">
        <v>11</v>
      </c>
      <c r="D1812" s="3" t="s">
        <v>18</v>
      </c>
      <c r="E1812" s="4">
        <v>3</v>
      </c>
      <c r="F1812" s="4">
        <v>1258</v>
      </c>
      <c r="G1812" s="3" t="s">
        <v>13</v>
      </c>
      <c r="H1812">
        <v>3774</v>
      </c>
      <c r="I1812">
        <v>3163.3614910000001</v>
      </c>
      <c r="J1812">
        <v>610.638509</v>
      </c>
      <c r="K1812" s="5">
        <f>IF(Table1[[#This Row],[Revenue]]=0, 0, Table1[[#This Row],[Profit]]/Table1[[#This Row],[Revenue]])</f>
        <v>0.16180140673025967</v>
      </c>
    </row>
    <row r="1813" spans="1:11" x14ac:dyDescent="0.35">
      <c r="A1813" s="1">
        <v>45474</v>
      </c>
      <c r="B1813" s="3" t="s">
        <v>27</v>
      </c>
      <c r="C1813" s="3" t="s">
        <v>31</v>
      </c>
      <c r="D1813" s="3" t="s">
        <v>29</v>
      </c>
      <c r="E1813" s="4">
        <v>1</v>
      </c>
      <c r="F1813" s="4">
        <v>1181</v>
      </c>
      <c r="G1813" s="3" t="s">
        <v>19</v>
      </c>
      <c r="H1813">
        <v>1181</v>
      </c>
      <c r="I1813">
        <v>834.93382899999995</v>
      </c>
      <c r="J1813">
        <v>346.066171</v>
      </c>
      <c r="K1813" s="5">
        <f>IF(Table1[[#This Row],[Revenue]]=0, 0, Table1[[#This Row],[Profit]]/Table1[[#This Row],[Revenue]])</f>
        <v>0.29302808721422524</v>
      </c>
    </row>
    <row r="1814" spans="1:11" x14ac:dyDescent="0.35">
      <c r="A1814" s="1">
        <v>45579</v>
      </c>
      <c r="B1814" s="3" t="s">
        <v>23</v>
      </c>
      <c r="C1814" s="3" t="s">
        <v>17</v>
      </c>
      <c r="D1814" s="3" t="s">
        <v>25</v>
      </c>
      <c r="E1814" s="4">
        <v>1</v>
      </c>
      <c r="F1814" s="4">
        <v>204</v>
      </c>
      <c r="G1814" s="3" t="s">
        <v>19</v>
      </c>
      <c r="H1814">
        <v>204</v>
      </c>
      <c r="I1814">
        <v>169.3516984</v>
      </c>
      <c r="J1814">
        <v>34.648301600000003</v>
      </c>
      <c r="K1814" s="5">
        <f>IF(Table1[[#This Row],[Revenue]]=0, 0, Table1[[#This Row],[Profit]]/Table1[[#This Row],[Revenue]])</f>
        <v>0.16984461568627451</v>
      </c>
    </row>
    <row r="1815" spans="1:11" x14ac:dyDescent="0.35">
      <c r="A1815" s="1">
        <v>45598</v>
      </c>
      <c r="B1815" s="3" t="s">
        <v>27</v>
      </c>
      <c r="C1815" s="3" t="s">
        <v>24</v>
      </c>
      <c r="D1815" s="3" t="s">
        <v>29</v>
      </c>
      <c r="E1815" s="4">
        <v>19</v>
      </c>
      <c r="F1815" s="4">
        <v>1389</v>
      </c>
      <c r="G1815" s="3" t="s">
        <v>19</v>
      </c>
      <c r="H1815">
        <v>26391</v>
      </c>
      <c r="I1815">
        <v>23580.99237</v>
      </c>
      <c r="J1815">
        <v>2810.0076330000002</v>
      </c>
      <c r="K1815" s="5">
        <f>IF(Table1[[#This Row],[Revenue]]=0, 0, Table1[[#This Row],[Profit]]/Table1[[#This Row],[Revenue]])</f>
        <v>0.10647598169830624</v>
      </c>
    </row>
    <row r="1816" spans="1:11" x14ac:dyDescent="0.35">
      <c r="A1816" s="1">
        <v>45591</v>
      </c>
      <c r="B1816" s="3" t="s">
        <v>10</v>
      </c>
      <c r="C1816" s="3" t="s">
        <v>24</v>
      </c>
      <c r="D1816" s="3" t="s">
        <v>15</v>
      </c>
      <c r="E1816" s="4">
        <v>5</v>
      </c>
      <c r="F1816" s="4">
        <v>1645</v>
      </c>
      <c r="G1816" s="3" t="s">
        <v>19</v>
      </c>
      <c r="H1816">
        <v>8225</v>
      </c>
      <c r="I1816">
        <v>6658.2878019999998</v>
      </c>
      <c r="J1816">
        <v>1566.7121979999999</v>
      </c>
      <c r="K1816" s="5">
        <f>IF(Table1[[#This Row],[Revenue]]=0, 0, Table1[[#This Row],[Profit]]/Table1[[#This Row],[Revenue]])</f>
        <v>0.19048172620060791</v>
      </c>
    </row>
    <row r="1817" spans="1:11" x14ac:dyDescent="0.35">
      <c r="A1817" s="1">
        <v>45373</v>
      </c>
      <c r="B1817" s="3" t="s">
        <v>10</v>
      </c>
      <c r="C1817" s="3" t="s">
        <v>22</v>
      </c>
      <c r="D1817" s="3" t="s">
        <v>25</v>
      </c>
      <c r="E1817" s="4">
        <v>13</v>
      </c>
      <c r="F1817" s="4">
        <v>1619</v>
      </c>
      <c r="G1817" s="3" t="s">
        <v>13</v>
      </c>
      <c r="H1817">
        <v>21047</v>
      </c>
      <c r="I1817">
        <v>15259.62083</v>
      </c>
      <c r="J1817">
        <v>5787.3791739999997</v>
      </c>
      <c r="K1817" s="5">
        <f>IF(Table1[[#This Row],[Revenue]]=0, 0, Table1[[#This Row],[Profit]]/Table1[[#This Row],[Revenue]])</f>
        <v>0.27497406632774268</v>
      </c>
    </row>
    <row r="1818" spans="1:11" x14ac:dyDescent="0.35">
      <c r="A1818" s="1">
        <v>45502</v>
      </c>
      <c r="B1818" s="3" t="s">
        <v>23</v>
      </c>
      <c r="C1818" s="3" t="s">
        <v>17</v>
      </c>
      <c r="D1818" s="3" t="s">
        <v>21</v>
      </c>
      <c r="E1818" s="4">
        <v>19</v>
      </c>
      <c r="F1818" s="4">
        <v>352</v>
      </c>
      <c r="G1818" s="3" t="s">
        <v>19</v>
      </c>
      <c r="H1818">
        <v>6688</v>
      </c>
      <c r="I1818">
        <v>5450.1042740000003</v>
      </c>
      <c r="J1818">
        <v>1237.895726</v>
      </c>
      <c r="K1818" s="5">
        <f>IF(Table1[[#This Row],[Revenue]]=0, 0, Table1[[#This Row],[Profit]]/Table1[[#This Row],[Revenue]])</f>
        <v>0.18509206429425837</v>
      </c>
    </row>
    <row r="1819" spans="1:11" x14ac:dyDescent="0.35">
      <c r="A1819" s="1">
        <v>45441</v>
      </c>
      <c r="B1819" s="3" t="s">
        <v>20</v>
      </c>
      <c r="C1819" s="3" t="s">
        <v>22</v>
      </c>
      <c r="D1819" s="3" t="s">
        <v>12</v>
      </c>
      <c r="E1819" s="4">
        <v>12</v>
      </c>
      <c r="F1819" s="4">
        <v>394</v>
      </c>
      <c r="G1819" s="3" t="s">
        <v>13</v>
      </c>
      <c r="H1819">
        <v>4728</v>
      </c>
      <c r="I1819">
        <v>4114.4872029999997</v>
      </c>
      <c r="J1819">
        <v>613.51279709999994</v>
      </c>
      <c r="K1819" s="5">
        <f>IF(Table1[[#This Row],[Revenue]]=0, 0, Table1[[#This Row],[Profit]]/Table1[[#This Row],[Revenue]])</f>
        <v>0.12976158991116751</v>
      </c>
    </row>
    <row r="1820" spans="1:11" x14ac:dyDescent="0.35">
      <c r="A1820" s="1">
        <v>45328</v>
      </c>
      <c r="B1820" s="3" t="s">
        <v>23</v>
      </c>
      <c r="C1820" s="3" t="s">
        <v>31</v>
      </c>
      <c r="D1820" s="3" t="s">
        <v>25</v>
      </c>
      <c r="E1820" s="4">
        <v>16</v>
      </c>
      <c r="F1820" s="4">
        <v>767</v>
      </c>
      <c r="G1820" s="3" t="s">
        <v>19</v>
      </c>
      <c r="H1820">
        <v>12272</v>
      </c>
      <c r="I1820">
        <v>7837.2484990000003</v>
      </c>
      <c r="J1820">
        <v>4434.7515009999997</v>
      </c>
      <c r="K1820" s="5">
        <f>IF(Table1[[#This Row],[Revenue]]=0, 0, Table1[[#This Row],[Profit]]/Table1[[#This Row],[Revenue]])</f>
        <v>0.36137153691329854</v>
      </c>
    </row>
    <row r="1821" spans="1:11" x14ac:dyDescent="0.35">
      <c r="A1821" s="1">
        <v>45643</v>
      </c>
      <c r="B1821" s="3" t="s">
        <v>20</v>
      </c>
      <c r="C1821" s="3" t="s">
        <v>28</v>
      </c>
      <c r="D1821" s="3" t="s">
        <v>32</v>
      </c>
      <c r="E1821" s="4">
        <v>19</v>
      </c>
      <c r="F1821" s="4">
        <v>1281</v>
      </c>
      <c r="G1821" s="3" t="s">
        <v>16</v>
      </c>
      <c r="H1821">
        <v>24339</v>
      </c>
      <c r="I1821">
        <v>16540.502130000001</v>
      </c>
      <c r="J1821">
        <v>7798.497867</v>
      </c>
      <c r="K1821" s="5">
        <f>IF(Table1[[#This Row],[Revenue]]=0, 0, Table1[[#This Row],[Profit]]/Table1[[#This Row],[Revenue]])</f>
        <v>0.32041159731295454</v>
      </c>
    </row>
    <row r="1822" spans="1:11" x14ac:dyDescent="0.35">
      <c r="A1822" s="1">
        <v>45603</v>
      </c>
      <c r="B1822" s="3" t="s">
        <v>27</v>
      </c>
      <c r="C1822" s="3" t="s">
        <v>14</v>
      </c>
      <c r="D1822" s="3" t="s">
        <v>25</v>
      </c>
      <c r="E1822" s="4">
        <v>3</v>
      </c>
      <c r="F1822" s="4">
        <v>648</v>
      </c>
      <c r="G1822" s="3" t="s">
        <v>16</v>
      </c>
      <c r="H1822">
        <v>1944</v>
      </c>
      <c r="I1822">
        <v>1702.533553</v>
      </c>
      <c r="J1822">
        <v>241.4664472</v>
      </c>
      <c r="K1822" s="5">
        <f>IF(Table1[[#This Row],[Revenue]]=0, 0, Table1[[#This Row],[Profit]]/Table1[[#This Row],[Revenue]])</f>
        <v>0.1242111353909465</v>
      </c>
    </row>
    <row r="1823" spans="1:11" x14ac:dyDescent="0.35">
      <c r="A1823" s="1">
        <v>45652</v>
      </c>
      <c r="B1823" s="3" t="s">
        <v>23</v>
      </c>
      <c r="C1823" s="3" t="s">
        <v>26</v>
      </c>
      <c r="D1823" s="3" t="s">
        <v>30</v>
      </c>
      <c r="E1823" s="4">
        <v>12</v>
      </c>
      <c r="F1823" s="4">
        <v>730</v>
      </c>
      <c r="G1823" s="3" t="s">
        <v>19</v>
      </c>
      <c r="H1823">
        <v>8760</v>
      </c>
      <c r="I1823">
        <v>7742.7000619999999</v>
      </c>
      <c r="J1823">
        <v>1017.299938</v>
      </c>
      <c r="K1823" s="5">
        <f>IF(Table1[[#This Row],[Revenue]]=0, 0, Table1[[#This Row],[Profit]]/Table1[[#This Row],[Revenue]])</f>
        <v>0.1161301299086758</v>
      </c>
    </row>
    <row r="1824" spans="1:11" x14ac:dyDescent="0.35">
      <c r="A1824" s="1">
        <v>45350</v>
      </c>
      <c r="B1824" s="3" t="s">
        <v>10</v>
      </c>
      <c r="C1824" s="3" t="s">
        <v>17</v>
      </c>
      <c r="D1824" s="3" t="s">
        <v>12</v>
      </c>
      <c r="E1824" s="4">
        <v>5</v>
      </c>
      <c r="F1824" s="4">
        <v>1190</v>
      </c>
      <c r="G1824" s="3" t="s">
        <v>19</v>
      </c>
      <c r="H1824">
        <v>5950</v>
      </c>
      <c r="I1824">
        <v>4434.1883420000004</v>
      </c>
      <c r="J1824">
        <v>1515.8116580000001</v>
      </c>
      <c r="K1824" s="5">
        <f>IF(Table1[[#This Row],[Revenue]]=0, 0, Table1[[#This Row],[Profit]]/Table1[[#This Row],[Revenue]])</f>
        <v>0.25475826184873951</v>
      </c>
    </row>
    <row r="1825" spans="1:11" x14ac:dyDescent="0.35">
      <c r="A1825" s="1">
        <v>45422</v>
      </c>
      <c r="B1825" s="3" t="s">
        <v>27</v>
      </c>
      <c r="C1825" s="3" t="s">
        <v>17</v>
      </c>
      <c r="D1825" s="3" t="s">
        <v>30</v>
      </c>
      <c r="E1825" s="4">
        <v>2</v>
      </c>
      <c r="F1825" s="4">
        <v>1877</v>
      </c>
      <c r="G1825" s="3" t="s">
        <v>19</v>
      </c>
      <c r="H1825">
        <v>3754</v>
      </c>
      <c r="I1825">
        <v>2674.2192949999999</v>
      </c>
      <c r="J1825">
        <v>1079.7807049999999</v>
      </c>
      <c r="K1825" s="5">
        <f>IF(Table1[[#This Row],[Revenue]]=0, 0, Table1[[#This Row],[Profit]]/Table1[[#This Row],[Revenue]])</f>
        <v>0.28763471097496002</v>
      </c>
    </row>
    <row r="1826" spans="1:11" x14ac:dyDescent="0.35">
      <c r="A1826" s="1">
        <v>45493</v>
      </c>
      <c r="B1826" s="3" t="s">
        <v>10</v>
      </c>
      <c r="C1826" s="3" t="s">
        <v>17</v>
      </c>
      <c r="D1826" s="3" t="s">
        <v>21</v>
      </c>
      <c r="E1826" s="4">
        <v>7</v>
      </c>
      <c r="F1826" s="4">
        <v>398</v>
      </c>
      <c r="G1826" s="3" t="s">
        <v>19</v>
      </c>
      <c r="H1826">
        <v>2786</v>
      </c>
      <c r="I1826">
        <v>1907.9490330000001</v>
      </c>
      <c r="J1826">
        <v>878.05096690000005</v>
      </c>
      <c r="K1826" s="5">
        <f>IF(Table1[[#This Row],[Revenue]]=0, 0, Table1[[#This Row],[Profit]]/Table1[[#This Row],[Revenue]])</f>
        <v>0.31516545832735104</v>
      </c>
    </row>
    <row r="1827" spans="1:11" x14ac:dyDescent="0.35">
      <c r="A1827" s="1">
        <v>45534</v>
      </c>
      <c r="B1827" s="3" t="s">
        <v>27</v>
      </c>
      <c r="C1827" s="3" t="s">
        <v>22</v>
      </c>
      <c r="D1827" s="3" t="s">
        <v>25</v>
      </c>
      <c r="E1827" s="4">
        <v>13</v>
      </c>
      <c r="F1827" s="4">
        <v>1586</v>
      </c>
      <c r="G1827" s="3" t="s">
        <v>13</v>
      </c>
      <c r="H1827">
        <v>20618</v>
      </c>
      <c r="I1827">
        <v>15455.77778</v>
      </c>
      <c r="J1827">
        <v>5162.2222179999999</v>
      </c>
      <c r="K1827" s="5">
        <f>IF(Table1[[#This Row],[Revenue]]=0, 0, Table1[[#This Row],[Profit]]/Table1[[#This Row],[Revenue]])</f>
        <v>0.25037453768551748</v>
      </c>
    </row>
    <row r="1828" spans="1:11" x14ac:dyDescent="0.35">
      <c r="A1828" s="1">
        <v>45326</v>
      </c>
      <c r="B1828" s="3" t="s">
        <v>23</v>
      </c>
      <c r="C1828" s="3" t="s">
        <v>31</v>
      </c>
      <c r="D1828" s="3" t="s">
        <v>29</v>
      </c>
      <c r="E1828" s="4">
        <v>15</v>
      </c>
      <c r="F1828" s="4">
        <v>1848</v>
      </c>
      <c r="G1828" s="3" t="s">
        <v>19</v>
      </c>
      <c r="H1828">
        <v>27720</v>
      </c>
      <c r="I1828">
        <v>24403.56106</v>
      </c>
      <c r="J1828">
        <v>3316.4389430000001</v>
      </c>
      <c r="K1828" s="5">
        <f>IF(Table1[[#This Row],[Revenue]]=0, 0, Table1[[#This Row],[Profit]]/Table1[[#This Row],[Revenue]])</f>
        <v>0.11964065450937951</v>
      </c>
    </row>
    <row r="1829" spans="1:11" x14ac:dyDescent="0.35">
      <c r="A1829" s="1">
        <v>45384</v>
      </c>
      <c r="B1829" s="3" t="s">
        <v>20</v>
      </c>
      <c r="C1829" s="3" t="s">
        <v>17</v>
      </c>
      <c r="D1829" s="3" t="s">
        <v>29</v>
      </c>
      <c r="E1829" s="4">
        <v>3</v>
      </c>
      <c r="F1829" s="4">
        <v>1943</v>
      </c>
      <c r="G1829" s="3" t="s">
        <v>19</v>
      </c>
      <c r="H1829">
        <v>5829</v>
      </c>
      <c r="I1829">
        <v>3759.3720950000002</v>
      </c>
      <c r="J1829">
        <v>2069.6279049999998</v>
      </c>
      <c r="K1829" s="5">
        <f>IF(Table1[[#This Row],[Revenue]]=0, 0, Table1[[#This Row],[Profit]]/Table1[[#This Row],[Revenue]])</f>
        <v>0.35505711185452049</v>
      </c>
    </row>
    <row r="1830" spans="1:11" x14ac:dyDescent="0.35">
      <c r="A1830" s="1">
        <v>45498</v>
      </c>
      <c r="B1830" s="3" t="s">
        <v>27</v>
      </c>
      <c r="C1830" s="3" t="s">
        <v>28</v>
      </c>
      <c r="D1830" s="3" t="s">
        <v>18</v>
      </c>
      <c r="E1830" s="4">
        <v>5</v>
      </c>
      <c r="F1830" s="4">
        <v>200</v>
      </c>
      <c r="G1830" s="3" t="s">
        <v>16</v>
      </c>
      <c r="H1830">
        <v>1000</v>
      </c>
      <c r="I1830">
        <v>725.94919159999995</v>
      </c>
      <c r="J1830">
        <v>274.05080839999999</v>
      </c>
      <c r="K1830" s="5">
        <f>IF(Table1[[#This Row],[Revenue]]=0, 0, Table1[[#This Row],[Profit]]/Table1[[#This Row],[Revenue]])</f>
        <v>0.27405080840000001</v>
      </c>
    </row>
    <row r="1831" spans="1:11" x14ac:dyDescent="0.35">
      <c r="A1831" s="1">
        <v>45644</v>
      </c>
      <c r="B1831" s="3" t="s">
        <v>20</v>
      </c>
      <c r="C1831" s="3" t="s">
        <v>17</v>
      </c>
      <c r="D1831" s="3" t="s">
        <v>15</v>
      </c>
      <c r="E1831" s="4">
        <v>8</v>
      </c>
      <c r="F1831" s="4">
        <v>1179</v>
      </c>
      <c r="G1831" s="3" t="s">
        <v>19</v>
      </c>
      <c r="H1831">
        <v>9432</v>
      </c>
      <c r="I1831">
        <v>8238.6855919999998</v>
      </c>
      <c r="J1831">
        <v>1193.314408</v>
      </c>
      <c r="K1831" s="5">
        <f>IF(Table1[[#This Row],[Revenue]]=0, 0, Table1[[#This Row],[Profit]]/Table1[[#This Row],[Revenue]])</f>
        <v>0.12651764291772688</v>
      </c>
    </row>
    <row r="1832" spans="1:11" x14ac:dyDescent="0.35">
      <c r="A1832" s="1">
        <v>45623</v>
      </c>
      <c r="B1832" s="3" t="s">
        <v>27</v>
      </c>
      <c r="C1832" s="3" t="s">
        <v>24</v>
      </c>
      <c r="D1832" s="3" t="s">
        <v>32</v>
      </c>
      <c r="E1832" s="4">
        <v>1</v>
      </c>
      <c r="F1832" s="4">
        <v>431</v>
      </c>
      <c r="G1832" s="3" t="s">
        <v>19</v>
      </c>
      <c r="H1832">
        <v>431</v>
      </c>
      <c r="I1832">
        <v>303.74112159999999</v>
      </c>
      <c r="J1832">
        <v>127.2588784</v>
      </c>
      <c r="K1832" s="5">
        <f>IF(Table1[[#This Row],[Revenue]]=0, 0, Table1[[#This Row],[Profit]]/Table1[[#This Row],[Revenue]])</f>
        <v>0.29526421902552202</v>
      </c>
    </row>
    <row r="1833" spans="1:11" x14ac:dyDescent="0.35">
      <c r="A1833" s="1">
        <v>45596</v>
      </c>
      <c r="B1833" s="3" t="s">
        <v>10</v>
      </c>
      <c r="C1833" s="3" t="s">
        <v>14</v>
      </c>
      <c r="D1833" s="3" t="s">
        <v>12</v>
      </c>
      <c r="E1833" s="4">
        <v>8</v>
      </c>
      <c r="F1833" s="4">
        <v>935</v>
      </c>
      <c r="G1833" s="3" t="s">
        <v>16</v>
      </c>
      <c r="H1833">
        <v>7480</v>
      </c>
      <c r="I1833">
        <v>6211.5746769999996</v>
      </c>
      <c r="J1833">
        <v>1268.4253229999999</v>
      </c>
      <c r="K1833" s="5">
        <f>IF(Table1[[#This Row],[Revenue]]=0, 0, Table1[[#This Row],[Profit]]/Table1[[#This Row],[Revenue]])</f>
        <v>0.16957557794117648</v>
      </c>
    </row>
    <row r="1834" spans="1:11" x14ac:dyDescent="0.35">
      <c r="A1834" s="1">
        <v>45641</v>
      </c>
      <c r="B1834" s="3" t="s">
        <v>10</v>
      </c>
      <c r="C1834" s="3" t="s">
        <v>26</v>
      </c>
      <c r="D1834" s="3" t="s">
        <v>15</v>
      </c>
      <c r="E1834" s="4">
        <v>18</v>
      </c>
      <c r="F1834" s="4">
        <v>1874</v>
      </c>
      <c r="G1834" s="3" t="s">
        <v>19</v>
      </c>
      <c r="H1834">
        <v>33732</v>
      </c>
      <c r="I1834">
        <v>24178.353330000002</v>
      </c>
      <c r="J1834">
        <v>9553.6466670000009</v>
      </c>
      <c r="K1834" s="5">
        <f>IF(Table1[[#This Row],[Revenue]]=0, 0, Table1[[#This Row],[Profit]]/Table1[[#This Row],[Revenue]])</f>
        <v>0.28322206412308787</v>
      </c>
    </row>
    <row r="1835" spans="1:11" x14ac:dyDescent="0.35">
      <c r="A1835" s="1">
        <v>45504</v>
      </c>
      <c r="B1835" s="3" t="s">
        <v>27</v>
      </c>
      <c r="C1835" s="3" t="s">
        <v>14</v>
      </c>
      <c r="D1835" s="3" t="s">
        <v>25</v>
      </c>
      <c r="E1835" s="4">
        <v>16</v>
      </c>
      <c r="F1835" s="4">
        <v>492</v>
      </c>
      <c r="G1835" s="3" t="s">
        <v>16</v>
      </c>
      <c r="H1835">
        <v>7872</v>
      </c>
      <c r="I1835">
        <v>6624.1148439999997</v>
      </c>
      <c r="J1835">
        <v>1247.8851560000001</v>
      </c>
      <c r="K1835" s="5">
        <f>IF(Table1[[#This Row],[Revenue]]=0, 0, Table1[[#This Row],[Profit]]/Table1[[#This Row],[Revenue]])</f>
        <v>0.15852199644308942</v>
      </c>
    </row>
    <row r="1836" spans="1:11" x14ac:dyDescent="0.35">
      <c r="A1836" s="1">
        <v>45450</v>
      </c>
      <c r="B1836" s="3" t="s">
        <v>20</v>
      </c>
      <c r="C1836" s="3" t="s">
        <v>24</v>
      </c>
      <c r="D1836" s="3" t="s">
        <v>15</v>
      </c>
      <c r="E1836" s="4">
        <v>18</v>
      </c>
      <c r="F1836" s="4">
        <v>1866</v>
      </c>
      <c r="G1836" s="3" t="s">
        <v>19</v>
      </c>
      <c r="H1836">
        <v>33588</v>
      </c>
      <c r="I1836">
        <v>30037.772079999999</v>
      </c>
      <c r="J1836">
        <v>3550.2279210000002</v>
      </c>
      <c r="K1836" s="5">
        <f>IF(Table1[[#This Row],[Revenue]]=0, 0, Table1[[#This Row],[Profit]]/Table1[[#This Row],[Revenue]])</f>
        <v>0.10569929501607718</v>
      </c>
    </row>
    <row r="1837" spans="1:11" x14ac:dyDescent="0.35">
      <c r="A1837" s="1">
        <v>45315</v>
      </c>
      <c r="B1837" s="3" t="s">
        <v>23</v>
      </c>
      <c r="C1837" s="3" t="s">
        <v>24</v>
      </c>
      <c r="D1837" s="3" t="s">
        <v>18</v>
      </c>
      <c r="E1837" s="4">
        <v>12</v>
      </c>
      <c r="F1837" s="4">
        <v>973</v>
      </c>
      <c r="G1837" s="3" t="s">
        <v>19</v>
      </c>
      <c r="H1837">
        <v>11676</v>
      </c>
      <c r="I1837">
        <v>8364.0629389999995</v>
      </c>
      <c r="J1837">
        <v>3311.9370610000001</v>
      </c>
      <c r="K1837" s="5">
        <f>IF(Table1[[#This Row],[Revenue]]=0, 0, Table1[[#This Row],[Profit]]/Table1[[#This Row],[Revenue]])</f>
        <v>0.28365339679684826</v>
      </c>
    </row>
    <row r="1838" spans="1:11" x14ac:dyDescent="0.35">
      <c r="A1838" s="1">
        <v>45584</v>
      </c>
      <c r="B1838" s="3" t="s">
        <v>23</v>
      </c>
      <c r="C1838" s="3" t="s">
        <v>26</v>
      </c>
      <c r="D1838" s="3" t="s">
        <v>15</v>
      </c>
      <c r="E1838" s="4">
        <v>13</v>
      </c>
      <c r="F1838" s="4">
        <v>480</v>
      </c>
      <c r="G1838" s="3" t="s">
        <v>19</v>
      </c>
      <c r="H1838">
        <v>6240</v>
      </c>
      <c r="I1838">
        <v>5326.0246809999999</v>
      </c>
      <c r="J1838">
        <v>913.97531860000004</v>
      </c>
      <c r="K1838" s="5">
        <f>IF(Table1[[#This Row],[Revenue]]=0, 0, Table1[[#This Row],[Profit]]/Table1[[#This Row],[Revenue]])</f>
        <v>0.14647040362179486</v>
      </c>
    </row>
    <row r="1839" spans="1:11" x14ac:dyDescent="0.35">
      <c r="A1839" s="1">
        <v>45295</v>
      </c>
      <c r="B1839" s="3" t="s">
        <v>10</v>
      </c>
      <c r="C1839" s="3" t="s">
        <v>28</v>
      </c>
      <c r="D1839" s="3" t="s">
        <v>12</v>
      </c>
      <c r="E1839" s="4">
        <v>13</v>
      </c>
      <c r="F1839" s="4">
        <v>191</v>
      </c>
      <c r="G1839" s="3" t="s">
        <v>16</v>
      </c>
      <c r="H1839">
        <v>2483</v>
      </c>
      <c r="I1839">
        <v>2226.0716929999999</v>
      </c>
      <c r="J1839">
        <v>256.92830720000001</v>
      </c>
      <c r="K1839" s="5">
        <f>IF(Table1[[#This Row],[Revenue]]=0, 0, Table1[[#This Row],[Profit]]/Table1[[#This Row],[Revenue]])</f>
        <v>0.10347495255739025</v>
      </c>
    </row>
    <row r="1840" spans="1:11" x14ac:dyDescent="0.35">
      <c r="A1840" s="1">
        <v>45511</v>
      </c>
      <c r="B1840" s="3" t="s">
        <v>23</v>
      </c>
      <c r="C1840" s="3" t="s">
        <v>31</v>
      </c>
      <c r="D1840" s="3" t="s">
        <v>21</v>
      </c>
      <c r="E1840" s="4">
        <v>10</v>
      </c>
      <c r="F1840" s="4">
        <v>1914</v>
      </c>
      <c r="G1840" s="3" t="s">
        <v>19</v>
      </c>
      <c r="H1840">
        <v>19140</v>
      </c>
      <c r="I1840">
        <v>17133.152679999999</v>
      </c>
      <c r="J1840">
        <v>2006.847319</v>
      </c>
      <c r="K1840" s="5">
        <f>IF(Table1[[#This Row],[Revenue]]=0, 0, Table1[[#This Row],[Profit]]/Table1[[#This Row],[Revenue]])</f>
        <v>0.10485095710553814</v>
      </c>
    </row>
    <row r="1841" spans="1:11" x14ac:dyDescent="0.35">
      <c r="A1841" s="1">
        <v>45655</v>
      </c>
      <c r="B1841" s="3" t="s">
        <v>10</v>
      </c>
      <c r="C1841" s="3" t="s">
        <v>24</v>
      </c>
      <c r="D1841" s="3" t="s">
        <v>18</v>
      </c>
      <c r="E1841" s="4">
        <v>7</v>
      </c>
      <c r="F1841" s="4">
        <v>546</v>
      </c>
      <c r="G1841" s="3" t="s">
        <v>19</v>
      </c>
      <c r="H1841">
        <v>3822</v>
      </c>
      <c r="I1841">
        <v>2790.5619219999999</v>
      </c>
      <c r="J1841">
        <v>1031.4380779999999</v>
      </c>
      <c r="K1841" s="5">
        <f>IF(Table1[[#This Row],[Revenue]]=0, 0, Table1[[#This Row],[Profit]]/Table1[[#This Row],[Revenue]])</f>
        <v>0.26986867556253269</v>
      </c>
    </row>
    <row r="1842" spans="1:11" x14ac:dyDescent="0.35">
      <c r="A1842" s="1">
        <v>45311</v>
      </c>
      <c r="B1842" s="3" t="s">
        <v>23</v>
      </c>
      <c r="C1842" s="3" t="s">
        <v>31</v>
      </c>
      <c r="D1842" s="3" t="s">
        <v>21</v>
      </c>
      <c r="E1842" s="4">
        <v>14</v>
      </c>
      <c r="F1842" s="4">
        <v>208</v>
      </c>
      <c r="G1842" s="3" t="s">
        <v>19</v>
      </c>
      <c r="H1842">
        <v>2912</v>
      </c>
      <c r="I1842">
        <v>2171.560915</v>
      </c>
      <c r="J1842">
        <v>740.43908510000006</v>
      </c>
      <c r="K1842" s="5">
        <f>IF(Table1[[#This Row],[Revenue]]=0, 0, Table1[[#This Row],[Profit]]/Table1[[#This Row],[Revenue]])</f>
        <v>0.25427166383928573</v>
      </c>
    </row>
    <row r="1843" spans="1:11" x14ac:dyDescent="0.35">
      <c r="A1843" s="1">
        <v>45443</v>
      </c>
      <c r="B1843" s="3" t="s">
        <v>43</v>
      </c>
      <c r="C1843" s="3" t="s">
        <v>24</v>
      </c>
      <c r="D1843" s="3" t="s">
        <v>25</v>
      </c>
      <c r="E1843" s="4">
        <v>16</v>
      </c>
      <c r="F1843" s="4">
        <v>416</v>
      </c>
      <c r="G1843" s="3" t="s">
        <v>19</v>
      </c>
      <c r="H1843">
        <v>6656</v>
      </c>
      <c r="I1843">
        <v>4599.4322380000003</v>
      </c>
      <c r="J1843">
        <v>2056.5677620000001</v>
      </c>
      <c r="K1843" s="5">
        <f>IF(Table1[[#This Row],[Revenue]]=0, 0, Table1[[#This Row],[Profit]]/Table1[[#This Row],[Revenue]])</f>
        <v>0.3089795315504808</v>
      </c>
    </row>
    <row r="1844" spans="1:11" x14ac:dyDescent="0.35">
      <c r="A1844" s="1">
        <v>45341</v>
      </c>
      <c r="B1844" s="3" t="s">
        <v>10</v>
      </c>
      <c r="C1844" s="3" t="s">
        <v>11</v>
      </c>
      <c r="D1844" s="3" t="s">
        <v>18</v>
      </c>
      <c r="E1844" s="4">
        <v>15</v>
      </c>
      <c r="F1844" s="4">
        <v>1291</v>
      </c>
      <c r="G1844" s="3" t="s">
        <v>13</v>
      </c>
      <c r="H1844">
        <v>19365</v>
      </c>
      <c r="I1844">
        <v>13443.292009999999</v>
      </c>
      <c r="J1844">
        <v>5921.7079919999996</v>
      </c>
      <c r="K1844" s="5">
        <f>IF(Table1[[#This Row],[Revenue]]=0, 0, Table1[[#This Row],[Profit]]/Table1[[#This Row],[Revenue]])</f>
        <v>0.30579437087529043</v>
      </c>
    </row>
    <row r="1845" spans="1:11" x14ac:dyDescent="0.35">
      <c r="A1845" s="1">
        <v>45468</v>
      </c>
      <c r="B1845" s="3" t="s">
        <v>10</v>
      </c>
      <c r="C1845" s="3" t="s">
        <v>26</v>
      </c>
      <c r="D1845" s="3" t="s">
        <v>25</v>
      </c>
      <c r="E1845" s="4">
        <v>12</v>
      </c>
      <c r="F1845" s="4">
        <v>1935</v>
      </c>
      <c r="G1845" s="3" t="s">
        <v>19</v>
      </c>
      <c r="H1845">
        <v>23220</v>
      </c>
      <c r="I1845">
        <v>17362.550360000001</v>
      </c>
      <c r="J1845">
        <v>5857.4496429999999</v>
      </c>
      <c r="K1845" s="5">
        <f>IF(Table1[[#This Row],[Revenue]]=0, 0, Table1[[#This Row],[Profit]]/Table1[[#This Row],[Revenue]])</f>
        <v>0.2522588132213609</v>
      </c>
    </row>
    <row r="1846" spans="1:11" x14ac:dyDescent="0.35">
      <c r="A1846" s="1">
        <v>45387</v>
      </c>
      <c r="B1846" s="3" t="s">
        <v>27</v>
      </c>
      <c r="C1846" s="3" t="s">
        <v>24</v>
      </c>
      <c r="D1846" s="3" t="s">
        <v>25</v>
      </c>
      <c r="E1846" s="4">
        <v>9</v>
      </c>
      <c r="F1846" s="4">
        <v>1558</v>
      </c>
      <c r="G1846" s="3" t="s">
        <v>19</v>
      </c>
      <c r="H1846">
        <v>14022</v>
      </c>
      <c r="I1846">
        <v>9256.7015009999996</v>
      </c>
      <c r="J1846">
        <v>4765.2984990000004</v>
      </c>
      <c r="K1846" s="5">
        <f>IF(Table1[[#This Row],[Revenue]]=0, 0, Table1[[#This Row],[Profit]]/Table1[[#This Row],[Revenue]])</f>
        <v>0.33984442297817719</v>
      </c>
    </row>
    <row r="1847" spans="1:11" x14ac:dyDescent="0.35">
      <c r="A1847" s="1">
        <v>45396</v>
      </c>
      <c r="B1847" s="3" t="s">
        <v>10</v>
      </c>
      <c r="C1847" s="3" t="s">
        <v>11</v>
      </c>
      <c r="D1847" s="3" t="s">
        <v>15</v>
      </c>
      <c r="E1847" s="4">
        <v>8</v>
      </c>
      <c r="F1847" s="4">
        <v>541</v>
      </c>
      <c r="G1847" s="3" t="s">
        <v>13</v>
      </c>
      <c r="H1847">
        <v>4328</v>
      </c>
      <c r="I1847">
        <v>3520.122488</v>
      </c>
      <c r="J1847">
        <v>807.87751230000003</v>
      </c>
      <c r="K1847" s="5">
        <f>IF(Table1[[#This Row],[Revenue]]=0, 0, Table1[[#This Row],[Profit]]/Table1[[#This Row],[Revenue]])</f>
        <v>0.18666301115988909</v>
      </c>
    </row>
    <row r="1848" spans="1:11" x14ac:dyDescent="0.35">
      <c r="A1848" s="1">
        <v>45541</v>
      </c>
      <c r="B1848" s="3" t="s">
        <v>23</v>
      </c>
      <c r="C1848" s="3" t="s">
        <v>14</v>
      </c>
      <c r="D1848" s="3" t="s">
        <v>21</v>
      </c>
      <c r="E1848" s="4">
        <v>18</v>
      </c>
      <c r="F1848" s="4">
        <v>317</v>
      </c>
      <c r="G1848" s="3" t="s">
        <v>16</v>
      </c>
      <c r="H1848">
        <v>5706</v>
      </c>
      <c r="I1848">
        <v>4341.6529499999997</v>
      </c>
      <c r="J1848">
        <v>1364.3470500000001</v>
      </c>
      <c r="K1848" s="5">
        <f>IF(Table1[[#This Row],[Revenue]]=0, 0, Table1[[#This Row],[Profit]]/Table1[[#This Row],[Revenue]])</f>
        <v>0.23910743953732913</v>
      </c>
    </row>
    <row r="1849" spans="1:11" x14ac:dyDescent="0.35">
      <c r="A1849" s="1">
        <v>45408</v>
      </c>
      <c r="B1849" s="3" t="s">
        <v>23</v>
      </c>
      <c r="C1849" s="3" t="s">
        <v>22</v>
      </c>
      <c r="D1849" s="3" t="s">
        <v>25</v>
      </c>
      <c r="E1849" s="4">
        <v>18</v>
      </c>
      <c r="F1849" s="4">
        <v>1345</v>
      </c>
      <c r="G1849" s="3" t="s">
        <v>13</v>
      </c>
      <c r="H1849">
        <v>24210</v>
      </c>
      <c r="I1849">
        <v>21048.666850000001</v>
      </c>
      <c r="J1849">
        <v>3161.333153</v>
      </c>
      <c r="K1849" s="5">
        <f>IF(Table1[[#This Row],[Revenue]]=0, 0, Table1[[#This Row],[Profit]]/Table1[[#This Row],[Revenue]])</f>
        <v>0.13057964283353987</v>
      </c>
    </row>
    <row r="1850" spans="1:11" x14ac:dyDescent="0.35">
      <c r="A1850" s="1">
        <v>45645</v>
      </c>
      <c r="B1850" s="3" t="s">
        <v>10</v>
      </c>
      <c r="C1850" s="3" t="s">
        <v>11</v>
      </c>
      <c r="D1850" s="3" t="s">
        <v>21</v>
      </c>
      <c r="E1850" s="4">
        <v>13</v>
      </c>
      <c r="F1850" s="4">
        <v>772</v>
      </c>
      <c r="G1850" s="3" t="s">
        <v>13</v>
      </c>
      <c r="H1850">
        <v>10036</v>
      </c>
      <c r="I1850">
        <v>8462.1015920000009</v>
      </c>
      <c r="J1850">
        <v>1573.898408</v>
      </c>
      <c r="K1850" s="5">
        <f>IF(Table1[[#This Row],[Revenue]]=0, 0, Table1[[#This Row],[Profit]]/Table1[[#This Row],[Revenue]])</f>
        <v>0.15682526982861697</v>
      </c>
    </row>
    <row r="1851" spans="1:11" x14ac:dyDescent="0.35">
      <c r="A1851" s="1">
        <v>45519</v>
      </c>
      <c r="B1851" s="3" t="s">
        <v>23</v>
      </c>
      <c r="C1851" s="3" t="s">
        <v>17</v>
      </c>
      <c r="D1851" s="3" t="s">
        <v>21</v>
      </c>
      <c r="E1851" s="4">
        <v>18</v>
      </c>
      <c r="F1851" s="4">
        <v>1651</v>
      </c>
      <c r="G1851" s="3" t="s">
        <v>19</v>
      </c>
      <c r="H1851">
        <v>29718</v>
      </c>
      <c r="I1851">
        <v>20705.758959999999</v>
      </c>
      <c r="J1851">
        <v>9012.2410409999993</v>
      </c>
      <c r="K1851" s="5">
        <f>IF(Table1[[#This Row],[Revenue]]=0, 0, Table1[[#This Row],[Profit]]/Table1[[#This Row],[Revenue]])</f>
        <v>0.30325866616192204</v>
      </c>
    </row>
    <row r="1852" spans="1:11" x14ac:dyDescent="0.35">
      <c r="A1852" s="1">
        <v>45357</v>
      </c>
      <c r="B1852" s="3" t="s">
        <v>20</v>
      </c>
      <c r="C1852" s="3" t="s">
        <v>24</v>
      </c>
      <c r="D1852" s="3" t="s">
        <v>18</v>
      </c>
      <c r="E1852" s="4">
        <v>15</v>
      </c>
      <c r="F1852" s="4">
        <v>377</v>
      </c>
      <c r="G1852" s="3" t="s">
        <v>19</v>
      </c>
      <c r="H1852">
        <v>5655</v>
      </c>
      <c r="I1852">
        <v>4251.0975429999999</v>
      </c>
      <c r="J1852">
        <v>1403.9024569999999</v>
      </c>
      <c r="K1852" s="5">
        <f>IF(Table1[[#This Row],[Revenue]]=0, 0, Table1[[#This Row],[Profit]]/Table1[[#This Row],[Revenue]])</f>
        <v>0.2482586130857648</v>
      </c>
    </row>
    <row r="1853" spans="1:11" x14ac:dyDescent="0.35">
      <c r="A1853" s="1">
        <v>45626</v>
      </c>
      <c r="B1853" s="3" t="s">
        <v>10</v>
      </c>
      <c r="C1853" s="3" t="s">
        <v>11</v>
      </c>
      <c r="D1853" s="3" t="s">
        <v>30</v>
      </c>
      <c r="E1853" s="4">
        <v>4</v>
      </c>
      <c r="F1853" s="4">
        <v>1108</v>
      </c>
      <c r="G1853" s="3" t="s">
        <v>13</v>
      </c>
      <c r="H1853">
        <v>4432</v>
      </c>
      <c r="I1853">
        <v>3657.084648</v>
      </c>
      <c r="J1853">
        <v>774.91535220000003</v>
      </c>
      <c r="K1853" s="5">
        <f>IF(Table1[[#This Row],[Revenue]]=0, 0, Table1[[#This Row],[Profit]]/Table1[[#This Row],[Revenue]])</f>
        <v>0.17484552170577619</v>
      </c>
    </row>
    <row r="1854" spans="1:11" x14ac:dyDescent="0.35">
      <c r="A1854" s="1">
        <v>45553</v>
      </c>
      <c r="B1854" s="3" t="s">
        <v>27</v>
      </c>
      <c r="C1854" s="3" t="s">
        <v>31</v>
      </c>
      <c r="D1854" s="3" t="s">
        <v>15</v>
      </c>
      <c r="E1854" s="4">
        <v>17</v>
      </c>
      <c r="F1854" s="4">
        <v>668</v>
      </c>
      <c r="G1854" s="3" t="s">
        <v>19</v>
      </c>
      <c r="H1854">
        <v>11356</v>
      </c>
      <c r="I1854">
        <v>7471.7941940000001</v>
      </c>
      <c r="J1854">
        <v>3884.2058059999999</v>
      </c>
      <c r="K1854" s="5">
        <f>IF(Table1[[#This Row],[Revenue]]=0, 0, Table1[[#This Row],[Profit]]/Table1[[#This Row],[Revenue]])</f>
        <v>0.34203996178231771</v>
      </c>
    </row>
    <row r="1855" spans="1:11" x14ac:dyDescent="0.35">
      <c r="A1855" s="1">
        <v>45586</v>
      </c>
      <c r="B1855" s="3" t="s">
        <v>20</v>
      </c>
      <c r="C1855" s="3" t="s">
        <v>22</v>
      </c>
      <c r="D1855" s="3" t="s">
        <v>25</v>
      </c>
      <c r="E1855" s="4">
        <v>5</v>
      </c>
      <c r="F1855" s="4">
        <v>1697</v>
      </c>
      <c r="G1855" s="3" t="s">
        <v>13</v>
      </c>
      <c r="H1855">
        <v>8485</v>
      </c>
      <c r="I1855">
        <v>5171.4320209999996</v>
      </c>
      <c r="J1855">
        <v>3313.5679789999999</v>
      </c>
      <c r="K1855" s="5">
        <f>IF(Table1[[#This Row],[Revenue]]=0, 0, Table1[[#This Row],[Profit]]/Table1[[#This Row],[Revenue]])</f>
        <v>0.39052068108426635</v>
      </c>
    </row>
    <row r="1856" spans="1:11" x14ac:dyDescent="0.35">
      <c r="A1856" s="1">
        <v>45534</v>
      </c>
      <c r="B1856" s="3" t="s">
        <v>10</v>
      </c>
      <c r="C1856" s="3" t="s">
        <v>28</v>
      </c>
      <c r="D1856" s="3" t="s">
        <v>21</v>
      </c>
      <c r="E1856" s="4">
        <v>16</v>
      </c>
      <c r="F1856" s="4">
        <v>1109</v>
      </c>
      <c r="G1856" s="3" t="s">
        <v>16</v>
      </c>
      <c r="H1856">
        <v>17744</v>
      </c>
      <c r="I1856">
        <v>15183.38745</v>
      </c>
      <c r="J1856">
        <v>2560.6125459999998</v>
      </c>
      <c r="K1856" s="5">
        <f>IF(Table1[[#This Row],[Revenue]]=0, 0, Table1[[#This Row],[Profit]]/Table1[[#This Row],[Revenue]])</f>
        <v>0.14430864213255185</v>
      </c>
    </row>
    <row r="1857" spans="1:11" x14ac:dyDescent="0.35">
      <c r="A1857" s="1">
        <v>45477</v>
      </c>
      <c r="B1857" s="3" t="s">
        <v>27</v>
      </c>
      <c r="C1857" s="3" t="s">
        <v>24</v>
      </c>
      <c r="D1857" s="3" t="s">
        <v>32</v>
      </c>
      <c r="E1857" s="4">
        <v>9</v>
      </c>
      <c r="F1857" s="4">
        <v>974</v>
      </c>
      <c r="G1857" s="3" t="s">
        <v>19</v>
      </c>
      <c r="H1857">
        <v>8766</v>
      </c>
      <c r="I1857">
        <v>5621.329667</v>
      </c>
      <c r="J1857">
        <v>3144.670333</v>
      </c>
      <c r="K1857" s="5">
        <f>IF(Table1[[#This Row],[Revenue]]=0, 0, Table1[[#This Row],[Profit]]/Table1[[#This Row],[Revenue]])</f>
        <v>0.35873492276979241</v>
      </c>
    </row>
    <row r="1858" spans="1:11" x14ac:dyDescent="0.35">
      <c r="A1858" s="1">
        <v>45537</v>
      </c>
      <c r="B1858" s="3" t="s">
        <v>23</v>
      </c>
      <c r="C1858" s="3" t="s">
        <v>17</v>
      </c>
      <c r="D1858" s="3" t="s">
        <v>30</v>
      </c>
      <c r="E1858" s="4">
        <v>10</v>
      </c>
      <c r="F1858" s="4">
        <v>565</v>
      </c>
      <c r="G1858" s="3" t="s">
        <v>19</v>
      </c>
      <c r="H1858">
        <v>5650</v>
      </c>
      <c r="I1858">
        <v>4897.5523750000002</v>
      </c>
      <c r="J1858">
        <v>752.44762449999996</v>
      </c>
      <c r="K1858" s="5">
        <f>IF(Table1[[#This Row],[Revenue]]=0, 0, Table1[[#This Row],[Profit]]/Table1[[#This Row],[Revenue]])</f>
        <v>0.1331765707079646</v>
      </c>
    </row>
    <row r="1859" spans="1:11" x14ac:dyDescent="0.35">
      <c r="A1859" s="1">
        <v>45416</v>
      </c>
      <c r="B1859" s="3" t="s">
        <v>27</v>
      </c>
      <c r="C1859" s="3" t="s">
        <v>28</v>
      </c>
      <c r="D1859" s="3" t="s">
        <v>25</v>
      </c>
      <c r="E1859" s="4">
        <v>18</v>
      </c>
      <c r="F1859" s="4">
        <v>938</v>
      </c>
      <c r="G1859" s="3" t="s">
        <v>16</v>
      </c>
      <c r="H1859">
        <v>16884</v>
      </c>
      <c r="I1859">
        <v>14758.00736</v>
      </c>
      <c r="J1859">
        <v>2125.9926369999998</v>
      </c>
      <c r="K1859" s="5">
        <f>IF(Table1[[#This Row],[Revenue]]=0, 0, Table1[[#This Row],[Profit]]/Table1[[#This Row],[Revenue]])</f>
        <v>0.1259175928097607</v>
      </c>
    </row>
    <row r="1860" spans="1:11" x14ac:dyDescent="0.35">
      <c r="A1860" s="1">
        <v>45559</v>
      </c>
      <c r="B1860" s="3" t="s">
        <v>20</v>
      </c>
      <c r="C1860" s="3" t="s">
        <v>11</v>
      </c>
      <c r="D1860" s="3" t="s">
        <v>32</v>
      </c>
      <c r="E1860" s="4">
        <v>17</v>
      </c>
      <c r="F1860" s="4">
        <v>853</v>
      </c>
      <c r="G1860" s="3" t="s">
        <v>13</v>
      </c>
      <c r="H1860">
        <v>14501</v>
      </c>
      <c r="I1860">
        <v>10704.78512</v>
      </c>
      <c r="J1860">
        <v>3796.214884</v>
      </c>
      <c r="K1860" s="5">
        <f>IF(Table1[[#This Row],[Revenue]]=0, 0, Table1[[#This Row],[Profit]]/Table1[[#This Row],[Revenue]])</f>
        <v>0.2617898685607889</v>
      </c>
    </row>
    <row r="1861" spans="1:11" x14ac:dyDescent="0.35">
      <c r="A1861" s="1">
        <v>45422</v>
      </c>
      <c r="B1861" s="3" t="s">
        <v>23</v>
      </c>
      <c r="C1861" s="3" t="s">
        <v>28</v>
      </c>
      <c r="D1861" s="3" t="s">
        <v>15</v>
      </c>
      <c r="E1861" s="4">
        <v>18</v>
      </c>
      <c r="F1861" s="4">
        <v>1725</v>
      </c>
      <c r="G1861" s="3" t="s">
        <v>16</v>
      </c>
      <c r="H1861">
        <v>31050</v>
      </c>
      <c r="I1861">
        <v>26145.17165</v>
      </c>
      <c r="J1861">
        <v>4904.8283490000003</v>
      </c>
      <c r="K1861" s="5">
        <f>IF(Table1[[#This Row],[Revenue]]=0, 0, Table1[[#This Row],[Profit]]/Table1[[#This Row],[Revenue]])</f>
        <v>0.15796548628019325</v>
      </c>
    </row>
    <row r="1862" spans="1:11" x14ac:dyDescent="0.35">
      <c r="A1862" s="1">
        <v>45528</v>
      </c>
      <c r="B1862" s="3" t="s">
        <v>10</v>
      </c>
      <c r="C1862" s="3" t="s">
        <v>28</v>
      </c>
      <c r="D1862" s="3" t="s">
        <v>15</v>
      </c>
      <c r="E1862" s="4">
        <v>7</v>
      </c>
      <c r="F1862" s="4">
        <v>1707</v>
      </c>
      <c r="G1862" s="3" t="s">
        <v>16</v>
      </c>
      <c r="H1862">
        <v>11949</v>
      </c>
      <c r="I1862">
        <v>8471.3316610000002</v>
      </c>
      <c r="J1862">
        <v>3477.6683389999998</v>
      </c>
      <c r="K1862" s="5">
        <f>IF(Table1[[#This Row],[Revenue]]=0, 0, Table1[[#This Row],[Profit]]/Table1[[#This Row],[Revenue]])</f>
        <v>0.29104262607749604</v>
      </c>
    </row>
    <row r="1863" spans="1:11" x14ac:dyDescent="0.35">
      <c r="A1863" s="1">
        <v>45309</v>
      </c>
      <c r="B1863" s="3" t="s">
        <v>23</v>
      </c>
      <c r="C1863" s="3" t="s">
        <v>22</v>
      </c>
      <c r="D1863" s="3" t="s">
        <v>21</v>
      </c>
      <c r="E1863" s="4">
        <v>4</v>
      </c>
      <c r="F1863" s="4">
        <v>937</v>
      </c>
      <c r="G1863" s="3" t="s">
        <v>13</v>
      </c>
      <c r="H1863">
        <v>3748</v>
      </c>
      <c r="I1863">
        <v>3213.8326579999998</v>
      </c>
      <c r="J1863">
        <v>534.16734169999995</v>
      </c>
      <c r="K1863" s="5">
        <f>IF(Table1[[#This Row],[Revenue]]=0, 0, Table1[[#This Row],[Profit]]/Table1[[#This Row],[Revenue]])</f>
        <v>0.14252063545891142</v>
      </c>
    </row>
    <row r="1864" spans="1:11" x14ac:dyDescent="0.35">
      <c r="A1864" s="1">
        <v>45331</v>
      </c>
      <c r="B1864" s="3" t="s">
        <v>10</v>
      </c>
      <c r="C1864" s="3" t="s">
        <v>14</v>
      </c>
      <c r="D1864" s="3" t="s">
        <v>21</v>
      </c>
      <c r="E1864" s="4">
        <v>5</v>
      </c>
      <c r="F1864" s="4">
        <v>129</v>
      </c>
      <c r="G1864" s="3" t="s">
        <v>16</v>
      </c>
      <c r="H1864">
        <v>645</v>
      </c>
      <c r="I1864">
        <v>546.57594459999996</v>
      </c>
      <c r="J1864">
        <v>98.424055409999994</v>
      </c>
      <c r="K1864" s="5">
        <f>IF(Table1[[#This Row],[Revenue]]=0, 0, Table1[[#This Row],[Profit]]/Table1[[#This Row],[Revenue]])</f>
        <v>0.15259543474418605</v>
      </c>
    </row>
    <row r="1865" spans="1:11" x14ac:dyDescent="0.35">
      <c r="A1865" s="1">
        <v>45312</v>
      </c>
      <c r="B1865" s="3" t="s">
        <v>10</v>
      </c>
      <c r="C1865" s="3" t="s">
        <v>28</v>
      </c>
      <c r="D1865" s="3" t="s">
        <v>12</v>
      </c>
      <c r="E1865" s="4">
        <v>16</v>
      </c>
      <c r="F1865" s="4">
        <v>458</v>
      </c>
      <c r="G1865" s="3" t="s">
        <v>16</v>
      </c>
      <c r="H1865">
        <v>7328</v>
      </c>
      <c r="I1865">
        <v>4569.4148279999999</v>
      </c>
      <c r="J1865">
        <v>2758.5851720000001</v>
      </c>
      <c r="K1865" s="5">
        <f>IF(Table1[[#This Row],[Revenue]]=0, 0, Table1[[#This Row],[Profit]]/Table1[[#This Row],[Revenue]])</f>
        <v>0.37644448307860262</v>
      </c>
    </row>
    <row r="1866" spans="1:11" x14ac:dyDescent="0.35">
      <c r="A1866" s="1">
        <v>45516</v>
      </c>
      <c r="B1866" s="3" t="s">
        <v>27</v>
      </c>
      <c r="C1866" s="3" t="s">
        <v>28</v>
      </c>
      <c r="D1866" s="3" t="s">
        <v>12</v>
      </c>
      <c r="E1866" s="4">
        <v>3</v>
      </c>
      <c r="F1866" s="4">
        <v>1411</v>
      </c>
      <c r="G1866" s="3" t="s">
        <v>16</v>
      </c>
      <c r="H1866">
        <v>4233</v>
      </c>
      <c r="I1866">
        <v>3279.645951</v>
      </c>
      <c r="J1866">
        <v>953.35404940000001</v>
      </c>
      <c r="K1866" s="5">
        <f>IF(Table1[[#This Row],[Revenue]]=0, 0, Table1[[#This Row],[Profit]]/Table1[[#This Row],[Revenue]])</f>
        <v>0.22521947776990314</v>
      </c>
    </row>
    <row r="1867" spans="1:11" x14ac:dyDescent="0.35">
      <c r="A1867" s="1">
        <v>45646</v>
      </c>
      <c r="B1867" s="3" t="s">
        <v>27</v>
      </c>
      <c r="C1867" s="3" t="s">
        <v>24</v>
      </c>
      <c r="D1867" s="3" t="s">
        <v>25</v>
      </c>
      <c r="E1867" s="4">
        <v>18</v>
      </c>
      <c r="F1867" s="4">
        <v>185</v>
      </c>
      <c r="G1867" s="3" t="s">
        <v>19</v>
      </c>
      <c r="H1867">
        <v>3330</v>
      </c>
      <c r="I1867">
        <v>2637.358905</v>
      </c>
      <c r="J1867">
        <v>692.64109529999996</v>
      </c>
      <c r="K1867" s="5">
        <f>IF(Table1[[#This Row],[Revenue]]=0, 0, Table1[[#This Row],[Profit]]/Table1[[#This Row],[Revenue]])</f>
        <v>0.2080003289189189</v>
      </c>
    </row>
    <row r="1868" spans="1:11" x14ac:dyDescent="0.35">
      <c r="A1868" s="1">
        <v>45573</v>
      </c>
      <c r="B1868" s="3" t="s">
        <v>27</v>
      </c>
      <c r="C1868" s="3" t="s">
        <v>14</v>
      </c>
      <c r="D1868" s="3" t="s">
        <v>18</v>
      </c>
      <c r="E1868" s="4">
        <v>14</v>
      </c>
      <c r="F1868" s="4">
        <v>1357</v>
      </c>
      <c r="G1868" s="3" t="s">
        <v>16</v>
      </c>
      <c r="H1868">
        <v>18998</v>
      </c>
      <c r="I1868">
        <v>11403.686040000001</v>
      </c>
      <c r="J1868">
        <v>7594.3139570000003</v>
      </c>
      <c r="K1868" s="5">
        <f>IF(Table1[[#This Row],[Revenue]]=0, 0, Table1[[#This Row],[Profit]]/Table1[[#This Row],[Revenue]])</f>
        <v>0.39974281276976525</v>
      </c>
    </row>
    <row r="1869" spans="1:11" x14ac:dyDescent="0.35">
      <c r="A1869" s="1">
        <v>45299</v>
      </c>
      <c r="B1869" s="3" t="s">
        <v>20</v>
      </c>
      <c r="C1869" s="3" t="s">
        <v>22</v>
      </c>
      <c r="D1869" s="3" t="s">
        <v>30</v>
      </c>
      <c r="E1869" s="4">
        <v>15</v>
      </c>
      <c r="F1869" s="4">
        <v>846</v>
      </c>
      <c r="G1869" s="3" t="s">
        <v>13</v>
      </c>
      <c r="H1869">
        <v>12690</v>
      </c>
      <c r="I1869">
        <v>11344.54904</v>
      </c>
      <c r="J1869">
        <v>1345.450961</v>
      </c>
      <c r="K1869" s="5">
        <f>IF(Table1[[#This Row],[Revenue]]=0, 0, Table1[[#This Row],[Profit]]/Table1[[#This Row],[Revenue]])</f>
        <v>0.10602450441292356</v>
      </c>
    </row>
    <row r="1870" spans="1:11" x14ac:dyDescent="0.35">
      <c r="A1870" s="1">
        <v>45391</v>
      </c>
      <c r="B1870" s="3" t="s">
        <v>20</v>
      </c>
      <c r="C1870" s="3" t="s">
        <v>17</v>
      </c>
      <c r="D1870" s="3" t="s">
        <v>25</v>
      </c>
      <c r="E1870" s="4">
        <v>17</v>
      </c>
      <c r="F1870" s="4">
        <v>412</v>
      </c>
      <c r="G1870" s="3" t="s">
        <v>19</v>
      </c>
      <c r="H1870">
        <v>7004</v>
      </c>
      <c r="I1870">
        <v>5056.6797880000004</v>
      </c>
      <c r="J1870">
        <v>1947.3202120000001</v>
      </c>
      <c r="K1870" s="5">
        <f>IF(Table1[[#This Row],[Revenue]]=0, 0, Table1[[#This Row],[Profit]]/Table1[[#This Row],[Revenue]])</f>
        <v>0.27802972758423761</v>
      </c>
    </row>
    <row r="1871" spans="1:11" x14ac:dyDescent="0.35">
      <c r="A1871" s="1">
        <v>45531</v>
      </c>
      <c r="B1871" s="3" t="s">
        <v>27</v>
      </c>
      <c r="C1871" s="3" t="s">
        <v>11</v>
      </c>
      <c r="D1871" s="3" t="s">
        <v>30</v>
      </c>
      <c r="E1871" s="4">
        <v>1</v>
      </c>
      <c r="F1871" s="4">
        <v>464</v>
      </c>
      <c r="G1871" s="3" t="s">
        <v>13</v>
      </c>
      <c r="H1871">
        <v>464</v>
      </c>
      <c r="I1871">
        <v>350.41417430000001</v>
      </c>
      <c r="J1871">
        <v>113.5858257</v>
      </c>
      <c r="K1871" s="5">
        <f>IF(Table1[[#This Row],[Revenue]]=0, 0, Table1[[#This Row],[Profit]]/Table1[[#This Row],[Revenue]])</f>
        <v>0.24479703814655174</v>
      </c>
    </row>
    <row r="1872" spans="1:11" x14ac:dyDescent="0.35">
      <c r="A1872" s="1">
        <v>45378</v>
      </c>
      <c r="B1872" s="3" t="s">
        <v>20</v>
      </c>
      <c r="C1872" s="3" t="s">
        <v>22</v>
      </c>
      <c r="D1872" s="3" t="s">
        <v>21</v>
      </c>
      <c r="E1872" s="4">
        <v>17</v>
      </c>
      <c r="F1872" s="4">
        <v>1900</v>
      </c>
      <c r="G1872" s="3" t="s">
        <v>13</v>
      </c>
      <c r="H1872">
        <v>32300</v>
      </c>
      <c r="I1872">
        <v>21267.651529999999</v>
      </c>
      <c r="J1872">
        <v>11032.348470000001</v>
      </c>
      <c r="K1872" s="5">
        <f>IF(Table1[[#This Row],[Revenue]]=0, 0, Table1[[#This Row],[Profit]]/Table1[[#This Row],[Revenue]])</f>
        <v>0.34155877616099073</v>
      </c>
    </row>
    <row r="1873" spans="1:11" x14ac:dyDescent="0.35">
      <c r="A1873" s="1">
        <v>45589</v>
      </c>
      <c r="B1873" s="3" t="s">
        <v>23</v>
      </c>
      <c r="C1873" s="3" t="s">
        <v>43</v>
      </c>
      <c r="D1873" s="3" t="s">
        <v>15</v>
      </c>
      <c r="E1873" s="4">
        <v>11</v>
      </c>
      <c r="F1873" s="4">
        <v>1922</v>
      </c>
      <c r="G1873" s="3" t="s">
        <v>13</v>
      </c>
      <c r="H1873">
        <v>21142</v>
      </c>
      <c r="I1873">
        <v>16560.012170000002</v>
      </c>
      <c r="J1873">
        <v>4581.98783</v>
      </c>
      <c r="K1873" s="5">
        <f>IF(Table1[[#This Row],[Revenue]]=0, 0, Table1[[#This Row],[Profit]]/Table1[[#This Row],[Revenue]])</f>
        <v>0.21672442673351622</v>
      </c>
    </row>
    <row r="1874" spans="1:11" x14ac:dyDescent="0.35">
      <c r="A1874" s="1">
        <v>45305</v>
      </c>
      <c r="B1874" s="3" t="s">
        <v>23</v>
      </c>
      <c r="C1874" s="3" t="s">
        <v>26</v>
      </c>
      <c r="D1874" s="3" t="s">
        <v>21</v>
      </c>
      <c r="E1874" s="4">
        <v>17</v>
      </c>
      <c r="F1874" s="4">
        <v>1962</v>
      </c>
      <c r="G1874" s="3" t="s">
        <v>19</v>
      </c>
      <c r="H1874">
        <v>33354</v>
      </c>
      <c r="I1874">
        <v>28123.624510000001</v>
      </c>
      <c r="J1874">
        <v>5230.3754939999999</v>
      </c>
      <c r="K1874" s="5">
        <f>IF(Table1[[#This Row],[Revenue]]=0, 0, Table1[[#This Row],[Profit]]/Table1[[#This Row],[Revenue]])</f>
        <v>0.15681404011512862</v>
      </c>
    </row>
    <row r="1875" spans="1:11" x14ac:dyDescent="0.35">
      <c r="A1875" s="1">
        <v>45625</v>
      </c>
      <c r="B1875" s="3" t="s">
        <v>20</v>
      </c>
      <c r="C1875" s="3" t="s">
        <v>22</v>
      </c>
      <c r="D1875" s="3" t="s">
        <v>15</v>
      </c>
      <c r="E1875" s="4">
        <v>14</v>
      </c>
      <c r="F1875" s="4">
        <v>1004</v>
      </c>
      <c r="G1875" s="3" t="s">
        <v>13</v>
      </c>
      <c r="H1875">
        <v>14056</v>
      </c>
      <c r="I1875">
        <v>10904.190839999999</v>
      </c>
      <c r="J1875">
        <v>3151.8091570000001</v>
      </c>
      <c r="K1875" s="5">
        <f>IF(Table1[[#This Row],[Revenue]]=0, 0, Table1[[#This Row],[Profit]]/Table1[[#This Row],[Revenue]])</f>
        <v>0.22423229631474104</v>
      </c>
    </row>
    <row r="1876" spans="1:11" x14ac:dyDescent="0.35">
      <c r="A1876" s="1">
        <v>45293</v>
      </c>
      <c r="B1876" s="3" t="s">
        <v>20</v>
      </c>
      <c r="C1876" s="3" t="s">
        <v>14</v>
      </c>
      <c r="D1876" s="3" t="s">
        <v>12</v>
      </c>
      <c r="E1876" s="4">
        <v>19</v>
      </c>
      <c r="F1876" s="4">
        <v>1392</v>
      </c>
      <c r="G1876" s="3" t="s">
        <v>16</v>
      </c>
      <c r="H1876">
        <v>26448</v>
      </c>
      <c r="I1876">
        <v>22121.385269999999</v>
      </c>
      <c r="J1876">
        <v>4326.6147330000003</v>
      </c>
      <c r="K1876" s="5">
        <f>IF(Table1[[#This Row],[Revenue]]=0, 0, Table1[[#This Row],[Profit]]/Table1[[#This Row],[Revenue]])</f>
        <v>0.16358948627495465</v>
      </c>
    </row>
    <row r="1877" spans="1:11" x14ac:dyDescent="0.35">
      <c r="A1877" s="1">
        <v>45584</v>
      </c>
      <c r="B1877" s="3" t="s">
        <v>23</v>
      </c>
      <c r="C1877" s="3" t="s">
        <v>26</v>
      </c>
      <c r="D1877" s="3" t="s">
        <v>44</v>
      </c>
      <c r="E1877" s="4">
        <v>7</v>
      </c>
      <c r="F1877" s="4">
        <v>797</v>
      </c>
      <c r="G1877" s="3" t="s">
        <v>19</v>
      </c>
      <c r="H1877">
        <v>5579</v>
      </c>
      <c r="I1877">
        <v>4571.055394</v>
      </c>
      <c r="J1877">
        <v>1007.944606</v>
      </c>
      <c r="K1877" s="5">
        <f>IF(Table1[[#This Row],[Revenue]]=0, 0, Table1[[#This Row],[Profit]]/Table1[[#This Row],[Revenue]])</f>
        <v>0.18066761175837964</v>
      </c>
    </row>
    <row r="1878" spans="1:11" x14ac:dyDescent="0.35">
      <c r="A1878" s="1">
        <v>45616</v>
      </c>
      <c r="B1878" s="3" t="s">
        <v>10</v>
      </c>
      <c r="C1878" s="3" t="s">
        <v>11</v>
      </c>
      <c r="D1878" s="3" t="s">
        <v>12</v>
      </c>
      <c r="E1878" s="4">
        <v>13</v>
      </c>
      <c r="F1878" s="4">
        <v>230</v>
      </c>
      <c r="G1878" s="3" t="s">
        <v>13</v>
      </c>
      <c r="H1878">
        <v>2990</v>
      </c>
      <c r="I1878">
        <v>2007.1790570000001</v>
      </c>
      <c r="J1878">
        <v>982.82094310000002</v>
      </c>
      <c r="K1878" s="5">
        <f>IF(Table1[[#This Row],[Revenue]]=0, 0, Table1[[#This Row],[Profit]]/Table1[[#This Row],[Revenue]])</f>
        <v>0.32870265655518394</v>
      </c>
    </row>
    <row r="1879" spans="1:11" x14ac:dyDescent="0.35">
      <c r="A1879" s="1">
        <v>45332</v>
      </c>
      <c r="B1879" s="3" t="s">
        <v>23</v>
      </c>
      <c r="C1879" s="3" t="s">
        <v>28</v>
      </c>
      <c r="D1879" s="3" t="s">
        <v>15</v>
      </c>
      <c r="E1879" s="4">
        <v>18</v>
      </c>
      <c r="F1879" s="4">
        <v>902</v>
      </c>
      <c r="G1879" s="3" t="s">
        <v>16</v>
      </c>
      <c r="H1879">
        <v>16236</v>
      </c>
      <c r="I1879">
        <v>11864.357190000001</v>
      </c>
      <c r="J1879">
        <v>4371.6428139999998</v>
      </c>
      <c r="K1879" s="5">
        <f>IF(Table1[[#This Row],[Revenue]]=0, 0, Table1[[#This Row],[Profit]]/Table1[[#This Row],[Revenue]])</f>
        <v>0.26925614769647693</v>
      </c>
    </row>
    <row r="1880" spans="1:11" x14ac:dyDescent="0.35">
      <c r="A1880" s="1">
        <v>45609</v>
      </c>
      <c r="B1880" s="3" t="s">
        <v>23</v>
      </c>
      <c r="C1880" s="3" t="s">
        <v>24</v>
      </c>
      <c r="D1880" s="3" t="s">
        <v>21</v>
      </c>
      <c r="E1880" s="4">
        <v>14</v>
      </c>
      <c r="F1880" s="4">
        <v>888</v>
      </c>
      <c r="G1880" s="3" t="s">
        <v>19</v>
      </c>
      <c r="H1880">
        <v>12432</v>
      </c>
      <c r="I1880">
        <v>8013.5188280000002</v>
      </c>
      <c r="J1880">
        <v>4418.4811719999998</v>
      </c>
      <c r="K1880" s="5">
        <f>IF(Table1[[#This Row],[Revenue]]=0, 0, Table1[[#This Row],[Profit]]/Table1[[#This Row],[Revenue]])</f>
        <v>0.35541193468468468</v>
      </c>
    </row>
    <row r="1881" spans="1:11" x14ac:dyDescent="0.35">
      <c r="A1881" s="1">
        <v>45607</v>
      </c>
      <c r="B1881" s="3" t="s">
        <v>20</v>
      </c>
      <c r="C1881" s="3" t="s">
        <v>24</v>
      </c>
      <c r="D1881" s="3" t="s">
        <v>12</v>
      </c>
      <c r="E1881" s="4">
        <v>1</v>
      </c>
      <c r="F1881" s="4">
        <v>1955</v>
      </c>
      <c r="G1881" s="3" t="s">
        <v>19</v>
      </c>
      <c r="H1881">
        <v>1955</v>
      </c>
      <c r="I1881">
        <v>1197.5953910000001</v>
      </c>
      <c r="J1881">
        <v>757.40460929999995</v>
      </c>
      <c r="K1881" s="5">
        <f>IF(Table1[[#This Row],[Revenue]]=0, 0, Table1[[#This Row],[Profit]]/Table1[[#This Row],[Revenue]])</f>
        <v>0.38741923749360613</v>
      </c>
    </row>
    <row r="1882" spans="1:11" x14ac:dyDescent="0.35">
      <c r="A1882" s="1">
        <v>45402</v>
      </c>
      <c r="B1882" s="3" t="s">
        <v>23</v>
      </c>
      <c r="C1882" s="3" t="s">
        <v>11</v>
      </c>
      <c r="D1882" s="3" t="s">
        <v>29</v>
      </c>
      <c r="E1882" s="4">
        <v>7</v>
      </c>
      <c r="F1882" s="4">
        <v>450</v>
      </c>
      <c r="G1882" s="3" t="s">
        <v>13</v>
      </c>
      <c r="H1882">
        <v>3150</v>
      </c>
      <c r="I1882">
        <v>1949.6001630000001</v>
      </c>
      <c r="J1882">
        <v>1200.3998369999999</v>
      </c>
      <c r="K1882" s="5">
        <f>IF(Table1[[#This Row],[Revenue]]=0, 0, Table1[[#This Row],[Profit]]/Table1[[#This Row],[Revenue]])</f>
        <v>0.38107931333333334</v>
      </c>
    </row>
    <row r="1883" spans="1:11" x14ac:dyDescent="0.35">
      <c r="A1883" s="1">
        <v>45305</v>
      </c>
      <c r="B1883" s="3" t="s">
        <v>20</v>
      </c>
      <c r="C1883" s="3" t="s">
        <v>11</v>
      </c>
      <c r="D1883" s="3" t="s">
        <v>30</v>
      </c>
      <c r="E1883" s="4">
        <v>8</v>
      </c>
      <c r="F1883" s="4">
        <v>279</v>
      </c>
      <c r="G1883" s="3" t="s">
        <v>13</v>
      </c>
      <c r="H1883">
        <v>2232</v>
      </c>
      <c r="I1883">
        <v>1970.297953</v>
      </c>
      <c r="J1883">
        <v>261.70204699999999</v>
      </c>
      <c r="K1883" s="5">
        <f>IF(Table1[[#This Row],[Revenue]]=0, 0, Table1[[#This Row],[Profit]]/Table1[[#This Row],[Revenue]])</f>
        <v>0.11725002105734766</v>
      </c>
    </row>
    <row r="1884" spans="1:11" x14ac:dyDescent="0.35">
      <c r="A1884" s="1">
        <v>45522</v>
      </c>
      <c r="B1884" s="3" t="s">
        <v>20</v>
      </c>
      <c r="C1884" s="3" t="s">
        <v>14</v>
      </c>
      <c r="D1884" s="3" t="s">
        <v>32</v>
      </c>
      <c r="E1884" s="4">
        <v>18</v>
      </c>
      <c r="F1884" s="4">
        <v>1925</v>
      </c>
      <c r="G1884" s="3" t="s">
        <v>16</v>
      </c>
      <c r="H1884">
        <v>34650</v>
      </c>
      <c r="I1884">
        <v>31024.266889999999</v>
      </c>
      <c r="J1884">
        <v>3625.7331119999999</v>
      </c>
      <c r="K1884" s="5">
        <f>IF(Table1[[#This Row],[Revenue]]=0, 0, Table1[[#This Row],[Profit]]/Table1[[#This Row],[Revenue]])</f>
        <v>0.10463876225108225</v>
      </c>
    </row>
    <row r="1885" spans="1:11" x14ac:dyDescent="0.35">
      <c r="A1885" s="1">
        <v>45375</v>
      </c>
      <c r="B1885" s="3" t="s">
        <v>27</v>
      </c>
      <c r="C1885" s="3" t="s">
        <v>31</v>
      </c>
      <c r="D1885" s="3" t="s">
        <v>15</v>
      </c>
      <c r="E1885" s="4">
        <v>9</v>
      </c>
      <c r="F1885" s="4">
        <v>1603</v>
      </c>
      <c r="G1885" s="3" t="s">
        <v>19</v>
      </c>
      <c r="H1885">
        <v>14427</v>
      </c>
      <c r="I1885">
        <v>9067.2721529999999</v>
      </c>
      <c r="J1885">
        <v>5359.7278470000001</v>
      </c>
      <c r="K1885" s="5">
        <f>IF(Table1[[#This Row],[Revenue]]=0, 0, Table1[[#This Row],[Profit]]/Table1[[#This Row],[Revenue]])</f>
        <v>0.37150674755666457</v>
      </c>
    </row>
    <row r="1886" spans="1:11" x14ac:dyDescent="0.35">
      <c r="A1886" s="1">
        <v>45421</v>
      </c>
      <c r="B1886" s="3" t="s">
        <v>23</v>
      </c>
      <c r="C1886" s="3" t="s">
        <v>28</v>
      </c>
      <c r="D1886" s="3" t="s">
        <v>15</v>
      </c>
      <c r="E1886" s="4">
        <v>1</v>
      </c>
      <c r="F1886" s="4">
        <v>1286</v>
      </c>
      <c r="G1886" s="3" t="s">
        <v>16</v>
      </c>
      <c r="H1886">
        <v>1286</v>
      </c>
      <c r="I1886">
        <v>900.91762730000005</v>
      </c>
      <c r="J1886">
        <v>385.08237270000001</v>
      </c>
      <c r="K1886" s="5">
        <f>IF(Table1[[#This Row],[Revenue]]=0, 0, Table1[[#This Row],[Profit]]/Table1[[#This Row],[Revenue]])</f>
        <v>0.29944196944012441</v>
      </c>
    </row>
    <row r="1887" spans="1:11" x14ac:dyDescent="0.35">
      <c r="A1887" s="1">
        <v>45522</v>
      </c>
      <c r="B1887" s="3" t="s">
        <v>10</v>
      </c>
      <c r="C1887" s="3" t="s">
        <v>11</v>
      </c>
      <c r="D1887" s="3" t="s">
        <v>29</v>
      </c>
      <c r="E1887" s="4">
        <v>17</v>
      </c>
      <c r="F1887" s="4">
        <v>1906</v>
      </c>
      <c r="G1887" s="3" t="s">
        <v>13</v>
      </c>
      <c r="H1887">
        <v>32402</v>
      </c>
      <c r="I1887">
        <v>20553.43766</v>
      </c>
      <c r="J1887">
        <v>11848.56234</v>
      </c>
      <c r="K1887" s="5">
        <f>IF(Table1[[#This Row],[Revenue]]=0, 0, Table1[[#This Row],[Profit]]/Table1[[#This Row],[Revenue]])</f>
        <v>0.36567379606197148</v>
      </c>
    </row>
    <row r="1888" spans="1:11" x14ac:dyDescent="0.35">
      <c r="A1888" s="1">
        <v>45617</v>
      </c>
      <c r="B1888" s="3" t="s">
        <v>27</v>
      </c>
      <c r="C1888" s="3" t="s">
        <v>22</v>
      </c>
      <c r="D1888" s="3" t="s">
        <v>25</v>
      </c>
      <c r="E1888" s="4">
        <v>19</v>
      </c>
      <c r="F1888" s="4">
        <v>1219</v>
      </c>
      <c r="G1888" s="3" t="s">
        <v>13</v>
      </c>
      <c r="H1888">
        <v>23161</v>
      </c>
      <c r="I1888">
        <v>19693.07213</v>
      </c>
      <c r="J1888">
        <v>3467.9278669999999</v>
      </c>
      <c r="K1888" s="5">
        <f>IF(Table1[[#This Row],[Revenue]]=0, 0, Table1[[#This Row],[Profit]]/Table1[[#This Row],[Revenue]])</f>
        <v>0.14973135300721038</v>
      </c>
    </row>
    <row r="1889" spans="1:11" x14ac:dyDescent="0.35">
      <c r="A1889" s="1">
        <v>45436</v>
      </c>
      <c r="B1889" s="3" t="s">
        <v>20</v>
      </c>
      <c r="C1889" s="3" t="s">
        <v>14</v>
      </c>
      <c r="D1889" s="3" t="s">
        <v>25</v>
      </c>
      <c r="E1889" s="4">
        <v>6</v>
      </c>
      <c r="F1889" s="4">
        <v>873</v>
      </c>
      <c r="G1889" s="3" t="s">
        <v>16</v>
      </c>
      <c r="H1889">
        <v>5238</v>
      </c>
      <c r="I1889">
        <v>3922.6812500000001</v>
      </c>
      <c r="J1889">
        <v>1315.3187499999999</v>
      </c>
      <c r="K1889" s="5">
        <f>IF(Table1[[#This Row],[Revenue]]=0, 0, Table1[[#This Row],[Profit]]/Table1[[#This Row],[Revenue]])</f>
        <v>0.25111087247040853</v>
      </c>
    </row>
    <row r="1890" spans="1:11" x14ac:dyDescent="0.35">
      <c r="A1890" s="1">
        <v>45636</v>
      </c>
      <c r="B1890" s="3" t="s">
        <v>20</v>
      </c>
      <c r="C1890" s="3" t="s">
        <v>24</v>
      </c>
      <c r="D1890" s="3" t="s">
        <v>25</v>
      </c>
      <c r="E1890" s="4">
        <v>3</v>
      </c>
      <c r="F1890" s="4">
        <v>609</v>
      </c>
      <c r="G1890" s="3" t="s">
        <v>19</v>
      </c>
      <c r="H1890">
        <v>1827</v>
      </c>
      <c r="I1890">
        <v>1436.7135679999999</v>
      </c>
      <c r="J1890">
        <v>390.28643160000001</v>
      </c>
      <c r="K1890" s="5">
        <f>IF(Table1[[#This Row],[Revenue]]=0, 0, Table1[[#This Row],[Profit]]/Table1[[#This Row],[Revenue]])</f>
        <v>0.21362147323481118</v>
      </c>
    </row>
    <row r="1891" spans="1:11" x14ac:dyDescent="0.35">
      <c r="A1891" s="1">
        <v>45319</v>
      </c>
      <c r="B1891" s="3" t="s">
        <v>10</v>
      </c>
      <c r="C1891" s="3" t="s">
        <v>17</v>
      </c>
      <c r="D1891" s="3" t="s">
        <v>32</v>
      </c>
      <c r="E1891" s="4">
        <v>5</v>
      </c>
      <c r="F1891" s="4">
        <v>464</v>
      </c>
      <c r="G1891" s="3" t="s">
        <v>19</v>
      </c>
      <c r="H1891">
        <v>2320</v>
      </c>
      <c r="I1891">
        <v>1767.777963</v>
      </c>
      <c r="J1891">
        <v>552.22203739999998</v>
      </c>
      <c r="K1891" s="5">
        <f>IF(Table1[[#This Row],[Revenue]]=0, 0, Table1[[#This Row],[Profit]]/Table1[[#This Row],[Revenue]])</f>
        <v>0.23802674025862067</v>
      </c>
    </row>
    <row r="1892" spans="1:11" x14ac:dyDescent="0.35">
      <c r="A1892" s="1">
        <v>45357</v>
      </c>
      <c r="B1892" s="3" t="s">
        <v>20</v>
      </c>
      <c r="C1892" s="3" t="s">
        <v>14</v>
      </c>
      <c r="D1892" s="3" t="s">
        <v>18</v>
      </c>
      <c r="E1892" s="4">
        <v>2</v>
      </c>
      <c r="F1892" s="4">
        <v>1080</v>
      </c>
      <c r="G1892" s="3" t="s">
        <v>16</v>
      </c>
      <c r="H1892">
        <v>2160</v>
      </c>
      <c r="I1892">
        <v>1756.244322</v>
      </c>
      <c r="J1892">
        <v>403.75567769999998</v>
      </c>
      <c r="K1892" s="5">
        <f>IF(Table1[[#This Row],[Revenue]]=0, 0, Table1[[#This Row],[Profit]]/Table1[[#This Row],[Revenue]])</f>
        <v>0.18692392486111109</v>
      </c>
    </row>
    <row r="1893" spans="1:11" x14ac:dyDescent="0.35">
      <c r="A1893" s="1">
        <v>45454</v>
      </c>
      <c r="B1893" s="3" t="s">
        <v>23</v>
      </c>
      <c r="C1893" s="3" t="s">
        <v>24</v>
      </c>
      <c r="D1893" s="3" t="s">
        <v>29</v>
      </c>
      <c r="E1893" s="4">
        <v>4</v>
      </c>
      <c r="F1893" s="4">
        <v>452</v>
      </c>
      <c r="G1893" s="3" t="s">
        <v>19</v>
      </c>
      <c r="H1893">
        <v>1808</v>
      </c>
      <c r="I1893">
        <v>1257.8973289999999</v>
      </c>
      <c r="J1893">
        <v>550.10267120000003</v>
      </c>
      <c r="K1893" s="5">
        <f>IF(Table1[[#This Row],[Revenue]]=0, 0, Table1[[#This Row],[Profit]]/Table1[[#This Row],[Revenue]])</f>
        <v>0.30426032699115046</v>
      </c>
    </row>
    <row r="1894" spans="1:11" x14ac:dyDescent="0.35">
      <c r="A1894" s="1">
        <v>45520</v>
      </c>
      <c r="B1894" s="3" t="s">
        <v>27</v>
      </c>
      <c r="C1894" s="3" t="s">
        <v>26</v>
      </c>
      <c r="D1894" s="3" t="s">
        <v>32</v>
      </c>
      <c r="E1894" s="4">
        <v>10</v>
      </c>
      <c r="F1894" s="4">
        <v>899</v>
      </c>
      <c r="G1894" s="3" t="s">
        <v>19</v>
      </c>
      <c r="H1894">
        <v>8990</v>
      </c>
      <c r="I1894">
        <v>5764.8195770000002</v>
      </c>
      <c r="J1894">
        <v>3225.1804229999998</v>
      </c>
      <c r="K1894" s="5">
        <f>IF(Table1[[#This Row],[Revenue]]=0, 0, Table1[[#This Row],[Profit]]/Table1[[#This Row],[Revenue]])</f>
        <v>0.35875199365962179</v>
      </c>
    </row>
    <row r="1895" spans="1:11" x14ac:dyDescent="0.35">
      <c r="A1895" s="1">
        <v>45552</v>
      </c>
      <c r="B1895" s="3" t="s">
        <v>20</v>
      </c>
      <c r="C1895" s="3" t="s">
        <v>43</v>
      </c>
      <c r="D1895" s="3" t="s">
        <v>12</v>
      </c>
      <c r="E1895" s="4">
        <v>10</v>
      </c>
      <c r="F1895" s="4">
        <v>1559</v>
      </c>
      <c r="G1895" s="3" t="s">
        <v>16</v>
      </c>
      <c r="H1895">
        <v>15590</v>
      </c>
      <c r="I1895">
        <v>9436.4087529999997</v>
      </c>
      <c r="J1895">
        <v>6153.5912470000003</v>
      </c>
      <c r="K1895" s="5">
        <f>IF(Table1[[#This Row],[Revenue]]=0, 0, Table1[[#This Row],[Profit]]/Table1[[#This Row],[Revenue]])</f>
        <v>0.39471399916613215</v>
      </c>
    </row>
    <row r="1896" spans="1:11" x14ac:dyDescent="0.35">
      <c r="A1896" s="1">
        <v>45455</v>
      </c>
      <c r="B1896" s="3" t="s">
        <v>20</v>
      </c>
      <c r="C1896" s="3" t="s">
        <v>24</v>
      </c>
      <c r="D1896" s="3" t="s">
        <v>29</v>
      </c>
      <c r="E1896" s="4">
        <v>11</v>
      </c>
      <c r="F1896" s="4">
        <v>1206</v>
      </c>
      <c r="G1896" s="3" t="s">
        <v>19</v>
      </c>
      <c r="H1896">
        <v>13266</v>
      </c>
      <c r="I1896">
        <v>9733.3685580000001</v>
      </c>
      <c r="J1896">
        <v>3532.6314419999999</v>
      </c>
      <c r="K1896" s="5">
        <f>IF(Table1[[#This Row],[Revenue]]=0, 0, Table1[[#This Row],[Profit]]/Table1[[#This Row],[Revenue]])</f>
        <v>0.26629213342379016</v>
      </c>
    </row>
    <row r="1897" spans="1:11" x14ac:dyDescent="0.35">
      <c r="A1897" s="1">
        <v>45592</v>
      </c>
      <c r="B1897" s="3" t="s">
        <v>10</v>
      </c>
      <c r="C1897" s="3" t="s">
        <v>31</v>
      </c>
      <c r="D1897" s="3" t="s">
        <v>15</v>
      </c>
      <c r="E1897" s="4">
        <v>16</v>
      </c>
      <c r="F1897" s="4">
        <v>1348</v>
      </c>
      <c r="G1897" s="3" t="s">
        <v>19</v>
      </c>
      <c r="H1897">
        <v>21568</v>
      </c>
      <c r="I1897">
        <v>18814.851890000002</v>
      </c>
      <c r="J1897">
        <v>2753.1481119999999</v>
      </c>
      <c r="K1897" s="5">
        <f>IF(Table1[[#This Row],[Revenue]]=0, 0, Table1[[#This Row],[Profit]]/Table1[[#This Row],[Revenue]])</f>
        <v>0.12764967136498515</v>
      </c>
    </row>
    <row r="1898" spans="1:11" x14ac:dyDescent="0.35">
      <c r="A1898" s="1">
        <v>45594</v>
      </c>
      <c r="B1898" s="3" t="s">
        <v>23</v>
      </c>
      <c r="C1898" s="3" t="s">
        <v>14</v>
      </c>
      <c r="D1898" s="3" t="s">
        <v>30</v>
      </c>
      <c r="E1898" s="4">
        <v>17</v>
      </c>
      <c r="F1898" s="4">
        <v>511</v>
      </c>
      <c r="G1898" s="3" t="s">
        <v>16</v>
      </c>
      <c r="H1898">
        <v>8687</v>
      </c>
      <c r="I1898">
        <v>6007.7551249999997</v>
      </c>
      <c r="J1898">
        <v>2679.2448749999999</v>
      </c>
      <c r="K1898" s="5">
        <f>IF(Table1[[#This Row],[Revenue]]=0, 0, Table1[[#This Row],[Profit]]/Table1[[#This Row],[Revenue]])</f>
        <v>0.30842003856337052</v>
      </c>
    </row>
    <row r="1899" spans="1:11" x14ac:dyDescent="0.35">
      <c r="A1899" s="1">
        <v>45578</v>
      </c>
      <c r="B1899" s="3" t="s">
        <v>43</v>
      </c>
      <c r="C1899" s="3" t="s">
        <v>14</v>
      </c>
      <c r="D1899" s="3" t="s">
        <v>29</v>
      </c>
      <c r="E1899" s="4">
        <v>16</v>
      </c>
      <c r="F1899" s="4">
        <v>834</v>
      </c>
      <c r="G1899" s="3" t="s">
        <v>16</v>
      </c>
      <c r="H1899">
        <v>13344</v>
      </c>
      <c r="I1899">
        <v>8790.8543460000001</v>
      </c>
      <c r="J1899">
        <v>4553.1456539999999</v>
      </c>
      <c r="K1899" s="5">
        <f>IF(Table1[[#This Row],[Revenue]]=0, 0, Table1[[#This Row],[Profit]]/Table1[[#This Row],[Revenue]])</f>
        <v>0.34121295368705035</v>
      </c>
    </row>
    <row r="1900" spans="1:11" x14ac:dyDescent="0.35">
      <c r="A1900" s="1">
        <v>45301</v>
      </c>
      <c r="B1900" s="3" t="s">
        <v>10</v>
      </c>
      <c r="C1900" s="3" t="s">
        <v>28</v>
      </c>
      <c r="D1900" s="3" t="s">
        <v>18</v>
      </c>
      <c r="E1900" s="4">
        <v>7</v>
      </c>
      <c r="F1900" s="4">
        <v>1080</v>
      </c>
      <c r="G1900" s="3" t="s">
        <v>16</v>
      </c>
      <c r="H1900">
        <v>7560</v>
      </c>
      <c r="I1900">
        <v>6636.264948</v>
      </c>
      <c r="J1900">
        <v>923.73505150000005</v>
      </c>
      <c r="K1900" s="5">
        <f>IF(Table1[[#This Row],[Revenue]]=0, 0, Table1[[#This Row],[Profit]]/Table1[[#This Row],[Revenue]])</f>
        <v>0.12218717612433863</v>
      </c>
    </row>
    <row r="1901" spans="1:11" x14ac:dyDescent="0.35">
      <c r="A1901" s="1">
        <v>45486</v>
      </c>
      <c r="B1901" s="3" t="s">
        <v>20</v>
      </c>
      <c r="C1901" s="3" t="s">
        <v>11</v>
      </c>
      <c r="D1901" s="3" t="s">
        <v>21</v>
      </c>
      <c r="E1901" s="4">
        <v>16</v>
      </c>
      <c r="F1901" s="4">
        <v>217</v>
      </c>
      <c r="G1901" s="3" t="s">
        <v>13</v>
      </c>
      <c r="H1901">
        <v>3472</v>
      </c>
      <c r="I1901">
        <v>2193.0353019999998</v>
      </c>
      <c r="J1901">
        <v>1278.964698</v>
      </c>
      <c r="K1901" s="5">
        <f>IF(Table1[[#This Row],[Revenue]]=0, 0, Table1[[#This Row],[Profit]]/Table1[[#This Row],[Revenue]])</f>
        <v>0.36836540841013826</v>
      </c>
    </row>
    <row r="1902" spans="1:11" x14ac:dyDescent="0.35">
      <c r="A1902" s="1">
        <v>45409</v>
      </c>
      <c r="B1902" s="3" t="s">
        <v>10</v>
      </c>
      <c r="C1902" s="3" t="s">
        <v>28</v>
      </c>
      <c r="D1902" s="3" t="s">
        <v>12</v>
      </c>
      <c r="E1902" s="4">
        <v>3</v>
      </c>
      <c r="F1902" s="4">
        <v>581</v>
      </c>
      <c r="G1902" s="3" t="s">
        <v>16</v>
      </c>
      <c r="H1902">
        <v>1743</v>
      </c>
      <c r="I1902">
        <v>1072.8867600000001</v>
      </c>
      <c r="J1902">
        <v>670.11323960000004</v>
      </c>
      <c r="K1902" s="5">
        <f>IF(Table1[[#This Row],[Revenue]]=0, 0, Table1[[#This Row],[Profit]]/Table1[[#This Row],[Revenue]])</f>
        <v>0.38445968995983937</v>
      </c>
    </row>
    <row r="1903" spans="1:11" x14ac:dyDescent="0.35">
      <c r="A1903" s="1">
        <v>45561</v>
      </c>
      <c r="B1903" s="3" t="s">
        <v>10</v>
      </c>
      <c r="C1903" s="3" t="s">
        <v>14</v>
      </c>
      <c r="D1903" s="3" t="s">
        <v>32</v>
      </c>
      <c r="E1903" s="4">
        <v>16</v>
      </c>
      <c r="F1903" s="4">
        <v>291</v>
      </c>
      <c r="G1903" s="3" t="s">
        <v>16</v>
      </c>
      <c r="H1903">
        <v>4656</v>
      </c>
      <c r="I1903">
        <v>4021.9643230000001</v>
      </c>
      <c r="J1903">
        <v>634.03567720000001</v>
      </c>
      <c r="K1903" s="5">
        <f>IF(Table1[[#This Row],[Revenue]]=0, 0, Table1[[#This Row],[Profit]]/Table1[[#This Row],[Revenue]])</f>
        <v>0.13617604750859108</v>
      </c>
    </row>
    <row r="1904" spans="1:11" x14ac:dyDescent="0.35">
      <c r="A1904" s="1">
        <v>45371</v>
      </c>
      <c r="B1904" s="3" t="s">
        <v>43</v>
      </c>
      <c r="C1904" s="3" t="s">
        <v>11</v>
      </c>
      <c r="D1904" s="3" t="s">
        <v>12</v>
      </c>
      <c r="E1904" s="4">
        <v>8</v>
      </c>
      <c r="F1904" s="4">
        <v>690</v>
      </c>
      <c r="G1904" s="3" t="s">
        <v>13</v>
      </c>
      <c r="H1904">
        <v>5520</v>
      </c>
      <c r="I1904">
        <v>4472.7059369999997</v>
      </c>
      <c r="J1904">
        <v>1047.2940630000001</v>
      </c>
      <c r="K1904" s="5">
        <f>IF(Table1[[#This Row],[Revenue]]=0, 0, Table1[[#This Row],[Profit]]/Table1[[#This Row],[Revenue]])</f>
        <v>0.18972718532608696</v>
      </c>
    </row>
    <row r="1905" spans="1:11" x14ac:dyDescent="0.35">
      <c r="A1905" s="1">
        <v>45384</v>
      </c>
      <c r="B1905" s="3" t="s">
        <v>20</v>
      </c>
      <c r="C1905" s="3" t="s">
        <v>24</v>
      </c>
      <c r="D1905" s="3" t="s">
        <v>12</v>
      </c>
      <c r="E1905" s="4">
        <v>12</v>
      </c>
      <c r="F1905" s="4">
        <v>689</v>
      </c>
      <c r="G1905" s="3" t="s">
        <v>19</v>
      </c>
      <c r="H1905">
        <v>8268</v>
      </c>
      <c r="I1905">
        <v>6007.6990500000002</v>
      </c>
      <c r="J1905">
        <v>2260.3009499999998</v>
      </c>
      <c r="K1905" s="5">
        <f>IF(Table1[[#This Row],[Revenue]]=0, 0, Table1[[#This Row],[Profit]]/Table1[[#This Row],[Revenue]])</f>
        <v>0.27337940856313497</v>
      </c>
    </row>
    <row r="1906" spans="1:11" x14ac:dyDescent="0.35">
      <c r="A1906" s="1">
        <v>45557</v>
      </c>
      <c r="B1906" s="3" t="s">
        <v>23</v>
      </c>
      <c r="C1906" s="3" t="s">
        <v>17</v>
      </c>
      <c r="D1906" s="3" t="s">
        <v>29</v>
      </c>
      <c r="E1906" s="4">
        <v>3</v>
      </c>
      <c r="F1906" s="4">
        <v>758</v>
      </c>
      <c r="G1906" s="3" t="s">
        <v>19</v>
      </c>
      <c r="H1906">
        <v>2274</v>
      </c>
      <c r="I1906">
        <v>1877.649058</v>
      </c>
      <c r="J1906">
        <v>396.3509416</v>
      </c>
      <c r="K1906" s="5">
        <f>IF(Table1[[#This Row],[Revenue]]=0, 0, Table1[[#This Row],[Profit]]/Table1[[#This Row],[Revenue]])</f>
        <v>0.17429680809146877</v>
      </c>
    </row>
    <row r="1907" spans="1:11" x14ac:dyDescent="0.35">
      <c r="A1907" s="1">
        <v>45623</v>
      </c>
      <c r="B1907" s="3" t="s">
        <v>10</v>
      </c>
      <c r="C1907" s="3" t="s">
        <v>17</v>
      </c>
      <c r="D1907" s="3" t="s">
        <v>29</v>
      </c>
      <c r="E1907" s="4">
        <v>17</v>
      </c>
      <c r="F1907" s="4">
        <v>206</v>
      </c>
      <c r="G1907" s="3" t="s">
        <v>19</v>
      </c>
      <c r="H1907">
        <v>3502</v>
      </c>
      <c r="I1907">
        <v>2880.1568139999999</v>
      </c>
      <c r="J1907">
        <v>621.84318640000004</v>
      </c>
      <c r="K1907" s="5">
        <f>IF(Table1[[#This Row],[Revenue]]=0, 0, Table1[[#This Row],[Profit]]/Table1[[#This Row],[Revenue]])</f>
        <v>0.17756801439177614</v>
      </c>
    </row>
    <row r="1908" spans="1:11" x14ac:dyDescent="0.35">
      <c r="A1908" s="1">
        <v>45641</v>
      </c>
      <c r="B1908" s="3" t="s">
        <v>27</v>
      </c>
      <c r="C1908" s="3" t="s">
        <v>14</v>
      </c>
      <c r="D1908" s="3" t="s">
        <v>18</v>
      </c>
      <c r="E1908" s="4">
        <v>18</v>
      </c>
      <c r="F1908" s="4">
        <v>481</v>
      </c>
      <c r="G1908" s="3" t="s">
        <v>16</v>
      </c>
      <c r="H1908">
        <v>8658</v>
      </c>
      <c r="I1908">
        <v>5298.8533070000003</v>
      </c>
      <c r="J1908">
        <v>3359.1466930000001</v>
      </c>
      <c r="K1908" s="5">
        <f>IF(Table1[[#This Row],[Revenue]]=0, 0, Table1[[#This Row],[Profit]]/Table1[[#This Row],[Revenue]])</f>
        <v>0.38798183102333106</v>
      </c>
    </row>
    <row r="1909" spans="1:11" x14ac:dyDescent="0.35">
      <c r="A1909" s="1">
        <v>45652</v>
      </c>
      <c r="B1909" s="3" t="s">
        <v>20</v>
      </c>
      <c r="C1909" s="3" t="s">
        <v>31</v>
      </c>
      <c r="D1909" s="3" t="s">
        <v>30</v>
      </c>
      <c r="E1909" s="4">
        <v>11</v>
      </c>
      <c r="F1909" s="4">
        <v>882</v>
      </c>
      <c r="G1909" s="3" t="s">
        <v>19</v>
      </c>
      <c r="H1909">
        <v>9702</v>
      </c>
      <c r="I1909">
        <v>7789.4839709999997</v>
      </c>
      <c r="J1909">
        <v>1912.5160289999999</v>
      </c>
      <c r="K1909" s="5">
        <f>IF(Table1[[#This Row],[Revenue]]=0, 0, Table1[[#This Row],[Profit]]/Table1[[#This Row],[Revenue]])</f>
        <v>0.1971259564007421</v>
      </c>
    </row>
    <row r="1910" spans="1:11" x14ac:dyDescent="0.35">
      <c r="A1910" s="1">
        <v>45548</v>
      </c>
      <c r="B1910" s="3" t="s">
        <v>27</v>
      </c>
      <c r="C1910" s="3" t="s">
        <v>26</v>
      </c>
      <c r="D1910" s="3" t="s">
        <v>29</v>
      </c>
      <c r="E1910" s="4">
        <v>4</v>
      </c>
      <c r="F1910" s="4">
        <v>489</v>
      </c>
      <c r="G1910" s="3" t="s">
        <v>19</v>
      </c>
      <c r="H1910">
        <v>1956</v>
      </c>
      <c r="I1910">
        <v>1549.6639110000001</v>
      </c>
      <c r="J1910">
        <v>406.33608889999999</v>
      </c>
      <c r="K1910" s="5">
        <f>IF(Table1[[#This Row],[Revenue]]=0, 0, Table1[[#This Row],[Profit]]/Table1[[#This Row],[Revenue]])</f>
        <v>0.20773828675869122</v>
      </c>
    </row>
    <row r="1911" spans="1:11" x14ac:dyDescent="0.35">
      <c r="A1911" s="1">
        <v>45424</v>
      </c>
      <c r="B1911" s="3" t="s">
        <v>20</v>
      </c>
      <c r="C1911" s="3" t="s">
        <v>24</v>
      </c>
      <c r="D1911" s="3" t="s">
        <v>29</v>
      </c>
      <c r="E1911" s="4">
        <v>16</v>
      </c>
      <c r="F1911" s="4">
        <v>343</v>
      </c>
      <c r="G1911" s="3" t="s">
        <v>19</v>
      </c>
      <c r="H1911">
        <v>5488</v>
      </c>
      <c r="I1911">
        <v>4879.5659699999997</v>
      </c>
      <c r="J1911">
        <v>608.43402979999996</v>
      </c>
      <c r="K1911" s="5">
        <f>IF(Table1[[#This Row],[Revenue]]=0, 0, Table1[[#This Row],[Profit]]/Table1[[#This Row],[Revenue]])</f>
        <v>0.11086625907434401</v>
      </c>
    </row>
    <row r="1912" spans="1:11" x14ac:dyDescent="0.35">
      <c r="A1912" s="1">
        <v>45567</v>
      </c>
      <c r="B1912" s="3" t="s">
        <v>23</v>
      </c>
      <c r="C1912" s="3" t="s">
        <v>11</v>
      </c>
      <c r="D1912" s="3" t="s">
        <v>30</v>
      </c>
      <c r="E1912" s="4">
        <v>17</v>
      </c>
      <c r="F1912" s="4">
        <v>684</v>
      </c>
      <c r="G1912" s="3" t="s">
        <v>13</v>
      </c>
      <c r="H1912">
        <v>11628</v>
      </c>
      <c r="I1912">
        <v>10348.766310000001</v>
      </c>
      <c r="J1912">
        <v>1279.2336869999999</v>
      </c>
      <c r="K1912" s="5">
        <f>IF(Table1[[#This Row],[Revenue]]=0, 0, Table1[[#This Row],[Profit]]/Table1[[#This Row],[Revenue]])</f>
        <v>0.11001321697626418</v>
      </c>
    </row>
    <row r="1913" spans="1:11" x14ac:dyDescent="0.35">
      <c r="A1913" s="1">
        <v>45555</v>
      </c>
      <c r="B1913" s="3" t="s">
        <v>23</v>
      </c>
      <c r="C1913" s="3" t="s">
        <v>14</v>
      </c>
      <c r="D1913" s="3" t="s">
        <v>18</v>
      </c>
      <c r="E1913" s="4">
        <v>9</v>
      </c>
      <c r="F1913" s="4">
        <v>968</v>
      </c>
      <c r="G1913" s="3" t="s">
        <v>16</v>
      </c>
      <c r="H1913">
        <v>8712</v>
      </c>
      <c r="I1913">
        <v>6214.6163189999997</v>
      </c>
      <c r="J1913">
        <v>2497.3836809999998</v>
      </c>
      <c r="K1913" s="5">
        <f>IF(Table1[[#This Row],[Revenue]]=0, 0, Table1[[#This Row],[Profit]]/Table1[[#This Row],[Revenue]])</f>
        <v>0.28666020213498622</v>
      </c>
    </row>
    <row r="1914" spans="1:11" x14ac:dyDescent="0.35">
      <c r="A1914" s="1">
        <v>45462</v>
      </c>
      <c r="B1914" s="3" t="s">
        <v>23</v>
      </c>
      <c r="C1914" s="3" t="s">
        <v>38</v>
      </c>
      <c r="D1914" s="3" t="s">
        <v>32</v>
      </c>
      <c r="E1914" s="4">
        <v>6</v>
      </c>
      <c r="F1914" s="4">
        <v>567</v>
      </c>
      <c r="G1914" s="3" t="s">
        <v>19</v>
      </c>
      <c r="H1914">
        <v>3402</v>
      </c>
      <c r="I1914">
        <v>2643.1926549999998</v>
      </c>
      <c r="J1914">
        <v>758.80734470000004</v>
      </c>
      <c r="K1914" s="5">
        <f>IF(Table1[[#This Row],[Revenue]]=0, 0, Table1[[#This Row],[Profit]]/Table1[[#This Row],[Revenue]])</f>
        <v>0.22304742642563199</v>
      </c>
    </row>
    <row r="1915" spans="1:11" x14ac:dyDescent="0.35">
      <c r="A1915" s="1">
        <v>45292</v>
      </c>
      <c r="B1915" s="3" t="s">
        <v>23</v>
      </c>
      <c r="C1915" s="3" t="s">
        <v>14</v>
      </c>
      <c r="D1915" s="3" t="s">
        <v>12</v>
      </c>
      <c r="E1915" s="4">
        <v>2</v>
      </c>
      <c r="F1915" s="4">
        <v>965</v>
      </c>
      <c r="G1915" s="3" t="s">
        <v>16</v>
      </c>
      <c r="H1915">
        <v>1930</v>
      </c>
      <c r="I1915">
        <v>1239.84592</v>
      </c>
      <c r="J1915">
        <v>690.15407990000006</v>
      </c>
      <c r="K1915" s="5">
        <f>IF(Table1[[#This Row],[Revenue]]=0, 0, Table1[[#This Row],[Profit]]/Table1[[#This Row],[Revenue]])</f>
        <v>0.35759278751295337</v>
      </c>
    </row>
    <row r="1916" spans="1:11" x14ac:dyDescent="0.35">
      <c r="A1916" s="1">
        <v>45604</v>
      </c>
      <c r="B1916" s="3" t="s">
        <v>23</v>
      </c>
      <c r="C1916" s="3" t="s">
        <v>31</v>
      </c>
      <c r="D1916" s="3" t="s">
        <v>32</v>
      </c>
      <c r="E1916" s="4">
        <v>9</v>
      </c>
      <c r="F1916" s="4">
        <v>1033</v>
      </c>
      <c r="G1916" s="3" t="s">
        <v>19</v>
      </c>
      <c r="H1916">
        <v>9297</v>
      </c>
      <c r="I1916">
        <v>5763.5538969999998</v>
      </c>
      <c r="J1916">
        <v>3533.4461030000002</v>
      </c>
      <c r="K1916" s="5">
        <f>IF(Table1[[#This Row],[Revenue]]=0, 0, Table1[[#This Row],[Profit]]/Table1[[#This Row],[Revenue]])</f>
        <v>0.380063042164139</v>
      </c>
    </row>
    <row r="1917" spans="1:11" x14ac:dyDescent="0.35">
      <c r="A1917" s="1">
        <v>45355</v>
      </c>
      <c r="B1917" s="3" t="s">
        <v>27</v>
      </c>
      <c r="C1917" s="3" t="s">
        <v>22</v>
      </c>
      <c r="D1917" s="3" t="s">
        <v>29</v>
      </c>
      <c r="E1917" s="4">
        <v>6</v>
      </c>
      <c r="F1917" s="4">
        <v>1661</v>
      </c>
      <c r="G1917" s="3" t="s">
        <v>13</v>
      </c>
      <c r="H1917">
        <v>9966</v>
      </c>
      <c r="I1917">
        <v>7273.5252620000001</v>
      </c>
      <c r="J1917">
        <v>2692.4747379999999</v>
      </c>
      <c r="K1917" s="5">
        <f>IF(Table1[[#This Row],[Revenue]]=0, 0, Table1[[#This Row],[Profit]]/Table1[[#This Row],[Revenue]])</f>
        <v>0.2701660383303231</v>
      </c>
    </row>
    <row r="1918" spans="1:11" x14ac:dyDescent="0.35">
      <c r="A1918" s="1">
        <v>45575</v>
      </c>
      <c r="B1918" s="3" t="s">
        <v>23</v>
      </c>
      <c r="C1918" s="3" t="s">
        <v>22</v>
      </c>
      <c r="D1918" s="3" t="s">
        <v>30</v>
      </c>
      <c r="E1918" s="4">
        <v>3</v>
      </c>
      <c r="F1918" s="4">
        <v>1333</v>
      </c>
      <c r="G1918" s="3" t="s">
        <v>13</v>
      </c>
      <c r="H1918">
        <v>3999</v>
      </c>
      <c r="I1918">
        <v>3227.0514480000002</v>
      </c>
      <c r="J1918">
        <v>771.94855159999997</v>
      </c>
      <c r="K1918" s="5">
        <f>IF(Table1[[#This Row],[Revenue]]=0, 0, Table1[[#This Row],[Profit]]/Table1[[#This Row],[Revenue]])</f>
        <v>0.19303539674918729</v>
      </c>
    </row>
    <row r="1919" spans="1:11" x14ac:dyDescent="0.35">
      <c r="A1919" s="1">
        <v>45412</v>
      </c>
      <c r="B1919" s="3" t="s">
        <v>10</v>
      </c>
      <c r="C1919" s="3" t="s">
        <v>31</v>
      </c>
      <c r="D1919" s="3" t="s">
        <v>29</v>
      </c>
      <c r="E1919" s="4">
        <v>6</v>
      </c>
      <c r="F1919" s="4">
        <v>703</v>
      </c>
      <c r="G1919" s="3" t="s">
        <v>19</v>
      </c>
      <c r="H1919">
        <v>4218</v>
      </c>
      <c r="I1919">
        <v>3249.2449240000001</v>
      </c>
      <c r="J1919">
        <v>968.75507579999999</v>
      </c>
      <c r="K1919" s="5">
        <f>IF(Table1[[#This Row],[Revenue]]=0, 0, Table1[[#This Row],[Profit]]/Table1[[#This Row],[Revenue]])</f>
        <v>0.22967166330014224</v>
      </c>
    </row>
    <row r="1920" spans="1:11" x14ac:dyDescent="0.35">
      <c r="A1920" s="1">
        <v>45398</v>
      </c>
      <c r="B1920" s="3" t="s">
        <v>10</v>
      </c>
      <c r="C1920" s="3" t="s">
        <v>11</v>
      </c>
      <c r="D1920" s="3" t="s">
        <v>25</v>
      </c>
      <c r="E1920" s="4">
        <v>7</v>
      </c>
      <c r="F1920" s="4">
        <v>1760</v>
      </c>
      <c r="G1920" s="3" t="s">
        <v>13</v>
      </c>
      <c r="H1920">
        <v>12320</v>
      </c>
      <c r="I1920">
        <v>8980.0119840000007</v>
      </c>
      <c r="J1920">
        <v>3339.9880159999998</v>
      </c>
      <c r="K1920" s="5">
        <f>IF(Table1[[#This Row],[Revenue]]=0, 0, Table1[[#This Row],[Profit]]/Table1[[#This Row],[Revenue]])</f>
        <v>0.27110292337662334</v>
      </c>
    </row>
    <row r="1921" spans="1:11" x14ac:dyDescent="0.35">
      <c r="A1921" s="1">
        <v>45466</v>
      </c>
      <c r="B1921" s="3" t="s">
        <v>27</v>
      </c>
      <c r="C1921" s="3" t="s">
        <v>28</v>
      </c>
      <c r="D1921" s="3" t="s">
        <v>21</v>
      </c>
      <c r="E1921" s="4">
        <v>1</v>
      </c>
      <c r="F1921" s="4">
        <v>1114</v>
      </c>
      <c r="G1921" s="3" t="s">
        <v>16</v>
      </c>
      <c r="H1921">
        <v>1114</v>
      </c>
      <c r="I1921">
        <v>941.81321309999998</v>
      </c>
      <c r="J1921">
        <v>172.18678689999999</v>
      </c>
      <c r="K1921" s="5">
        <f>IF(Table1[[#This Row],[Revenue]]=0, 0, Table1[[#This Row],[Profit]]/Table1[[#This Row],[Revenue]])</f>
        <v>0.15456623599640931</v>
      </c>
    </row>
    <row r="1922" spans="1:11" x14ac:dyDescent="0.35">
      <c r="A1922" s="1">
        <v>45495</v>
      </c>
      <c r="B1922" s="3" t="s">
        <v>20</v>
      </c>
      <c r="C1922" s="3" t="s">
        <v>31</v>
      </c>
      <c r="D1922" s="3" t="s">
        <v>32</v>
      </c>
      <c r="E1922" s="4">
        <v>1</v>
      </c>
      <c r="F1922" s="4">
        <v>1196</v>
      </c>
      <c r="G1922" s="3" t="s">
        <v>19</v>
      </c>
      <c r="H1922">
        <v>1196</v>
      </c>
      <c r="I1922">
        <v>1002.640577</v>
      </c>
      <c r="J1922">
        <v>193.35942299999999</v>
      </c>
      <c r="K1922" s="5">
        <f>IF(Table1[[#This Row],[Revenue]]=0, 0, Table1[[#This Row],[Profit]]/Table1[[#This Row],[Revenue]])</f>
        <v>0.16167175836120401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0"/>
  <sheetViews>
    <sheetView workbookViewId="0">
      <selection activeCell="A10" sqref="A10"/>
    </sheetView>
  </sheetViews>
  <sheetFormatPr defaultRowHeight="14.5" x14ac:dyDescent="0.35"/>
  <cols>
    <col min="1" max="1" width="12.36328125" bestFit="1" customWidth="1"/>
    <col min="2" max="2" width="14.36328125" bestFit="1" customWidth="1"/>
    <col min="3" max="3" width="11.81640625" bestFit="1" customWidth="1"/>
  </cols>
  <sheetData>
    <row r="3" spans="1:11" x14ac:dyDescent="0.35">
      <c r="A3" s="7" t="s">
        <v>47</v>
      </c>
      <c r="B3" t="s">
        <v>46</v>
      </c>
      <c r="C3" t="s">
        <v>61</v>
      </c>
      <c r="D3" s="9" t="s">
        <v>62</v>
      </c>
      <c r="E3" s="11"/>
    </row>
    <row r="4" spans="1:11" x14ac:dyDescent="0.35">
      <c r="A4" s="18" t="s">
        <v>69</v>
      </c>
      <c r="B4" s="6"/>
      <c r="C4" s="6"/>
      <c r="D4" s="10" t="e">
        <f>C4:C7/B4:B7</f>
        <v>#DIV/0!</v>
      </c>
    </row>
    <row r="5" spans="1:11" x14ac:dyDescent="0.35">
      <c r="A5" s="25" t="s">
        <v>49</v>
      </c>
      <c r="B5" s="6">
        <v>1855874</v>
      </c>
      <c r="C5" s="6">
        <v>447962.6804436802</v>
      </c>
      <c r="D5" s="10">
        <f t="shared" ref="D5:D7" si="0">C5:C8/B5:B8</f>
        <v>0.24137558931461953</v>
      </c>
      <c r="F5" s="26" t="s">
        <v>73</v>
      </c>
      <c r="G5" s="27"/>
      <c r="H5" s="27"/>
      <c r="I5" s="27"/>
      <c r="J5" s="27"/>
      <c r="K5" s="27"/>
    </row>
    <row r="6" spans="1:11" x14ac:dyDescent="0.35">
      <c r="A6" s="25" t="s">
        <v>50</v>
      </c>
      <c r="B6" s="6">
        <v>1943641</v>
      </c>
      <c r="C6" s="6">
        <v>494049.99614274973</v>
      </c>
      <c r="D6" s="10">
        <f t="shared" si="0"/>
        <v>0.25418788559345568</v>
      </c>
      <c r="F6" s="27"/>
      <c r="G6" s="27"/>
      <c r="H6" s="27"/>
      <c r="I6" s="27"/>
      <c r="J6" s="27"/>
      <c r="K6" s="27"/>
    </row>
    <row r="7" spans="1:11" x14ac:dyDescent="0.35">
      <c r="A7" s="25" t="s">
        <v>51</v>
      </c>
      <c r="B7" s="6">
        <v>1413121</v>
      </c>
      <c r="C7" s="6">
        <v>349683.95554071019</v>
      </c>
      <c r="D7" s="10">
        <f t="shared" si="0"/>
        <v>0.247455069693756</v>
      </c>
    </row>
    <row r="8" spans="1:11" x14ac:dyDescent="0.35">
      <c r="A8" s="18" t="s">
        <v>70</v>
      </c>
      <c r="B8" s="6"/>
      <c r="C8" s="6"/>
    </row>
    <row r="9" spans="1:11" x14ac:dyDescent="0.35">
      <c r="A9" s="25" t="s">
        <v>52</v>
      </c>
      <c r="B9" s="6">
        <v>1857725</v>
      </c>
      <c r="C9" s="6">
        <v>491538.81409161002</v>
      </c>
    </row>
    <row r="10" spans="1:11" x14ac:dyDescent="0.35">
      <c r="A10" s="25" t="s">
        <v>53</v>
      </c>
      <c r="B10" s="6">
        <v>1566109</v>
      </c>
      <c r="C10" s="6">
        <v>375096.19024713989</v>
      </c>
    </row>
    <row r="11" spans="1:11" x14ac:dyDescent="0.35">
      <c r="A11" s="25" t="s">
        <v>54</v>
      </c>
      <c r="B11" s="6">
        <v>1926915</v>
      </c>
      <c r="C11" s="6">
        <v>516945.61150312977</v>
      </c>
    </row>
    <row r="12" spans="1:11" x14ac:dyDescent="0.35">
      <c r="A12" s="18" t="s">
        <v>71</v>
      </c>
      <c r="B12" s="6"/>
      <c r="C12" s="6"/>
    </row>
    <row r="13" spans="1:11" x14ac:dyDescent="0.35">
      <c r="A13" s="25" t="s">
        <v>55</v>
      </c>
      <c r="B13" s="6">
        <v>1368905</v>
      </c>
      <c r="C13" s="6">
        <v>356919.42912419996</v>
      </c>
    </row>
    <row r="14" spans="1:11" x14ac:dyDescent="0.35">
      <c r="A14" s="25" t="s">
        <v>56</v>
      </c>
      <c r="B14" s="6">
        <v>1986713</v>
      </c>
      <c r="C14" s="6">
        <v>471548.28161273996</v>
      </c>
    </row>
    <row r="15" spans="1:11" x14ac:dyDescent="0.35">
      <c r="A15" s="25" t="s">
        <v>57</v>
      </c>
      <c r="B15" s="6">
        <v>1566883</v>
      </c>
      <c r="C15" s="6">
        <v>353099.70154519996</v>
      </c>
    </row>
    <row r="16" spans="1:11" x14ac:dyDescent="0.35">
      <c r="A16" s="18" t="s">
        <v>72</v>
      </c>
      <c r="B16" s="6"/>
      <c r="C16" s="6"/>
    </row>
    <row r="17" spans="1:3" x14ac:dyDescent="0.35">
      <c r="A17" s="25" t="s">
        <v>58</v>
      </c>
      <c r="B17" s="6">
        <v>1793316</v>
      </c>
      <c r="C17" s="6">
        <v>460627.56075333076</v>
      </c>
    </row>
    <row r="18" spans="1:3" x14ac:dyDescent="0.35">
      <c r="A18" s="25" t="s">
        <v>59</v>
      </c>
      <c r="B18" s="6">
        <v>1659520</v>
      </c>
      <c r="C18" s="6">
        <v>435120.02455867018</v>
      </c>
    </row>
    <row r="19" spans="1:3" x14ac:dyDescent="0.35">
      <c r="A19" s="25" t="s">
        <v>60</v>
      </c>
      <c r="B19" s="6">
        <v>1780845</v>
      </c>
      <c r="C19" s="6">
        <v>472714.82777063997</v>
      </c>
    </row>
    <row r="20" spans="1:3" x14ac:dyDescent="0.35">
      <c r="A20" s="18" t="s">
        <v>48</v>
      </c>
      <c r="B20" s="6">
        <v>20719567</v>
      </c>
      <c r="C20" s="6">
        <v>5225307.0733338008</v>
      </c>
    </row>
  </sheetData>
  <mergeCells count="1">
    <mergeCell ref="F5:K6"/>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54"/>
  <sheetViews>
    <sheetView workbookViewId="0">
      <selection activeCell="J12" sqref="J12"/>
    </sheetView>
  </sheetViews>
  <sheetFormatPr defaultRowHeight="14.5" x14ac:dyDescent="0.35"/>
  <cols>
    <col min="1" max="1" width="10.7265625" customWidth="1"/>
    <col min="2" max="2" width="11.81640625" customWidth="1"/>
    <col min="3" max="3" width="14.36328125" customWidth="1"/>
  </cols>
  <sheetData>
    <row r="3" spans="1:9" ht="15" thickBot="1" x14ac:dyDescent="0.4">
      <c r="A3" s="7" t="s">
        <v>65</v>
      </c>
      <c r="B3" t="s">
        <v>61</v>
      </c>
      <c r="C3" t="s">
        <v>46</v>
      </c>
    </row>
    <row r="4" spans="1:9" x14ac:dyDescent="0.35">
      <c r="A4" s="18" t="s">
        <v>69</v>
      </c>
      <c r="B4" s="6"/>
      <c r="C4" s="6"/>
      <c r="E4" s="12" t="s">
        <v>65</v>
      </c>
      <c r="F4" s="13" t="s">
        <v>66</v>
      </c>
    </row>
    <row r="5" spans="1:9" x14ac:dyDescent="0.35">
      <c r="A5" s="25" t="s">
        <v>49</v>
      </c>
      <c r="B5" s="6">
        <v>447962.6804436802</v>
      </c>
      <c r="C5" s="6">
        <v>1855874</v>
      </c>
      <c r="E5" s="14" t="s">
        <v>64</v>
      </c>
      <c r="F5" s="15">
        <f>GETPIVOTDATA("Sum of Profit",$A$3,"Date",1)/GETPIVOTDATA("Sum of Revenue",$A$3,"Date",1)</f>
        <v>0.24137558931461953</v>
      </c>
      <c r="I5">
        <f>Sheet2!E1</f>
        <v>0</v>
      </c>
    </row>
    <row r="6" spans="1:9" x14ac:dyDescent="0.35">
      <c r="A6" s="25" t="s">
        <v>50</v>
      </c>
      <c r="B6" s="6">
        <v>494049.99614274973</v>
      </c>
      <c r="C6" s="6">
        <v>1943641</v>
      </c>
      <c r="E6" s="14" t="s">
        <v>50</v>
      </c>
      <c r="F6" s="15">
        <f>GETPIVOTDATA("Sum of Profit",$A$3,"Date",2)/GETPIVOTDATA("Sum of Revenue",$A$3,"Date",2)</f>
        <v>0.25418788559345568</v>
      </c>
    </row>
    <row r="7" spans="1:9" x14ac:dyDescent="0.35">
      <c r="A7" s="25" t="s">
        <v>51</v>
      </c>
      <c r="B7" s="6">
        <v>349683.95554071019</v>
      </c>
      <c r="C7" s="6">
        <v>1413121</v>
      </c>
      <c r="E7" s="14" t="s">
        <v>51</v>
      </c>
      <c r="F7" s="15">
        <f>GETPIVOTDATA("Sum of Profit",$A$3,"Date",3)/GETPIVOTDATA("Sum of Revenue",$A$3,"Date",3)</f>
        <v>0.247455069693756</v>
      </c>
    </row>
    <row r="8" spans="1:9" x14ac:dyDescent="0.35">
      <c r="A8" s="18" t="s">
        <v>70</v>
      </c>
      <c r="B8" s="6"/>
      <c r="C8" s="6"/>
      <c r="E8" s="14" t="s">
        <v>52</v>
      </c>
      <c r="F8" s="15">
        <f>GETPIVOTDATA("Sum of Profit",$A$3,"Date",4)/GETPIVOTDATA("Sum of Revenue",$A$3,"Date",4)</f>
        <v>0.26459180669453769</v>
      </c>
    </row>
    <row r="9" spans="1:9" x14ac:dyDescent="0.35">
      <c r="A9" s="25" t="s">
        <v>52</v>
      </c>
      <c r="B9" s="6">
        <v>491538.81409161002</v>
      </c>
      <c r="C9" s="6">
        <v>1857725</v>
      </c>
      <c r="E9" s="14" t="s">
        <v>53</v>
      </c>
      <c r="F9" s="15">
        <f>GETPIVOTDATA("Sum of Profit",$A$3,"Date",5)/GETPIVOTDATA("Sum of Revenue",$A$3,"Date",5)</f>
        <v>0.23950835494026271</v>
      </c>
    </row>
    <row r="10" spans="1:9" x14ac:dyDescent="0.35">
      <c r="A10" s="25" t="s">
        <v>53</v>
      </c>
      <c r="B10" s="6">
        <v>375096.19024713989</v>
      </c>
      <c r="C10" s="6">
        <v>1566109</v>
      </c>
      <c r="E10" s="14" t="s">
        <v>54</v>
      </c>
      <c r="F10" s="15">
        <f>GETPIVOTDATA("Sum of Profit",$A$3,"Date",6)/GETPIVOTDATA("Sum of Revenue",$A$3,"Date",6)</f>
        <v>0.26827629215773907</v>
      </c>
    </row>
    <row r="11" spans="1:9" x14ac:dyDescent="0.35">
      <c r="A11" s="25" t="s">
        <v>54</v>
      </c>
      <c r="B11" s="6">
        <v>516945.61150312977</v>
      </c>
      <c r="C11" s="6">
        <v>1926915</v>
      </c>
      <c r="E11" s="14" t="s">
        <v>55</v>
      </c>
      <c r="F11" s="15">
        <f>GETPIVOTDATA("Sum of Profit",$A$3,"Date",7)/GETPIVOTDATA("Sum of Revenue",$A$3,"Date",7)</f>
        <v>0.26073352725295035</v>
      </c>
    </row>
    <row r="12" spans="1:9" x14ac:dyDescent="0.35">
      <c r="A12" s="18" t="s">
        <v>71</v>
      </c>
      <c r="B12" s="6"/>
      <c r="C12" s="6"/>
      <c r="E12" s="14" t="s">
        <v>56</v>
      </c>
      <c r="F12" s="15">
        <f>GETPIVOTDATA("Sum of Profit",$A$3,"Date",8)/GETPIVOTDATA("Sum of Revenue",$A$3,"Date",8)</f>
        <v>0.23735098205565675</v>
      </c>
    </row>
    <row r="13" spans="1:9" x14ac:dyDescent="0.35">
      <c r="A13" s="25" t="s">
        <v>55</v>
      </c>
      <c r="B13" s="6">
        <v>356919.42912419996</v>
      </c>
      <c r="C13" s="6">
        <v>1368905</v>
      </c>
      <c r="E13" s="14" t="s">
        <v>57</v>
      </c>
      <c r="F13" s="15">
        <f>GETPIVOTDATA("Sum of Profit",$A$3,"Date",9)/GETPIVOTDATA("Sum of Revenue",$A$3,"Date",9)</f>
        <v>0.22535167051094432</v>
      </c>
    </row>
    <row r="14" spans="1:9" x14ac:dyDescent="0.35">
      <c r="A14" s="25" t="s">
        <v>56</v>
      </c>
      <c r="B14" s="6">
        <v>471548.28161273996</v>
      </c>
      <c r="C14" s="6">
        <v>1986713</v>
      </c>
      <c r="E14" s="14" t="s">
        <v>58</v>
      </c>
      <c r="F14" s="15">
        <f>GETPIVOTDATA("Sum of Profit",$A$3,"Date",10)/GETPIVOTDATA("Sum of Revenue",$A$3,"Date",10)</f>
        <v>0.2568579997910746</v>
      </c>
    </row>
    <row r="15" spans="1:9" x14ac:dyDescent="0.35">
      <c r="A15" s="25" t="s">
        <v>57</v>
      </c>
      <c r="B15" s="6">
        <v>353099.70154519996</v>
      </c>
      <c r="C15" s="6">
        <v>1566883</v>
      </c>
      <c r="E15" s="14" t="s">
        <v>59</v>
      </c>
      <c r="F15" s="15">
        <f>GETPIVOTDATA("Sum of Profit",$A$3,"Date",11)/GETPIVOTDATA("Sum of Revenue",$A$3,"Date",11)</f>
        <v>0.262196312523302</v>
      </c>
    </row>
    <row r="16" spans="1:9" ht="15" thickBot="1" x14ac:dyDescent="0.4">
      <c r="A16" s="18" t="s">
        <v>72</v>
      </c>
      <c r="B16" s="6"/>
      <c r="C16" s="6"/>
      <c r="E16" s="16" t="s">
        <v>60</v>
      </c>
      <c r="F16" s="17">
        <f>GETPIVOTDATA("Sum of Profit",$A$3,"Date",12)/GETPIVOTDATA("Sum of Revenue",$A$3,"Date",12)</f>
        <v>0.26544411656861772</v>
      </c>
    </row>
    <row r="17" spans="1:6" x14ac:dyDescent="0.35">
      <c r="A17" s="25" t="s">
        <v>58</v>
      </c>
      <c r="B17" s="6">
        <v>460627.56075333076</v>
      </c>
      <c r="C17" s="6">
        <v>1793316</v>
      </c>
      <c r="E17" s="24" t="s">
        <v>68</v>
      </c>
      <c r="F17" s="10">
        <f>GETPIVOTDATA("Sum of Profit",$A$3)/GETPIVOTDATA("Sum of Revenue",$A$3)</f>
        <v>0.25219190503999434</v>
      </c>
    </row>
    <row r="18" spans="1:6" x14ac:dyDescent="0.35">
      <c r="A18" s="25" t="s">
        <v>59</v>
      </c>
      <c r="B18" s="6">
        <v>435120.02455867018</v>
      </c>
      <c r="C18" s="6">
        <v>1659520</v>
      </c>
    </row>
    <row r="19" spans="1:6" x14ac:dyDescent="0.35">
      <c r="A19" s="25" t="s">
        <v>60</v>
      </c>
      <c r="B19" s="6">
        <v>472714.82777063997</v>
      </c>
      <c r="C19" s="6">
        <v>1780845</v>
      </c>
    </row>
    <row r="20" spans="1:6" x14ac:dyDescent="0.35">
      <c r="A20" s="18" t="s">
        <v>48</v>
      </c>
      <c r="B20" s="6">
        <v>5225307.0733338008</v>
      </c>
      <c r="C20" s="6">
        <v>20719567</v>
      </c>
    </row>
    <row r="23" spans="1:6" x14ac:dyDescent="0.35">
      <c r="B23" s="21" t="s">
        <v>65</v>
      </c>
      <c r="C23" s="21" t="s">
        <v>46</v>
      </c>
    </row>
    <row r="24" spans="1:6" x14ac:dyDescent="0.35">
      <c r="B24" s="8" t="s">
        <v>49</v>
      </c>
      <c r="C24" s="6">
        <v>1855874</v>
      </c>
    </row>
    <row r="25" spans="1:6" x14ac:dyDescent="0.35">
      <c r="B25" s="8" t="s">
        <v>50</v>
      </c>
      <c r="C25" s="6">
        <v>1943641</v>
      </c>
    </row>
    <row r="26" spans="1:6" x14ac:dyDescent="0.35">
      <c r="B26" s="8" t="s">
        <v>51</v>
      </c>
      <c r="C26" s="6">
        <v>1413121</v>
      </c>
    </row>
    <row r="27" spans="1:6" x14ac:dyDescent="0.35">
      <c r="B27" s="8" t="s">
        <v>52</v>
      </c>
      <c r="C27" s="6">
        <v>1857725</v>
      </c>
    </row>
    <row r="28" spans="1:6" x14ac:dyDescent="0.35">
      <c r="B28" s="8" t="s">
        <v>53</v>
      </c>
      <c r="C28" s="6">
        <v>1566109</v>
      </c>
    </row>
    <row r="29" spans="1:6" x14ac:dyDescent="0.35">
      <c r="B29" s="8" t="s">
        <v>54</v>
      </c>
      <c r="C29" s="6">
        <v>1926915</v>
      </c>
    </row>
    <row r="30" spans="1:6" x14ac:dyDescent="0.35">
      <c r="B30" s="8" t="s">
        <v>55</v>
      </c>
      <c r="C30" s="6">
        <v>1368905</v>
      </c>
    </row>
    <row r="31" spans="1:6" x14ac:dyDescent="0.35">
      <c r="B31" s="8" t="s">
        <v>56</v>
      </c>
      <c r="C31" s="6">
        <v>1986713</v>
      </c>
    </row>
    <row r="32" spans="1:6" x14ac:dyDescent="0.35">
      <c r="B32" s="8" t="s">
        <v>57</v>
      </c>
      <c r="C32" s="6">
        <v>1566883</v>
      </c>
    </row>
    <row r="33" spans="2:3" x14ac:dyDescent="0.35">
      <c r="B33" s="8" t="s">
        <v>58</v>
      </c>
      <c r="C33" s="6">
        <v>1793316</v>
      </c>
    </row>
    <row r="34" spans="2:3" x14ac:dyDescent="0.35">
      <c r="B34" s="8" t="s">
        <v>59</v>
      </c>
      <c r="C34" s="6">
        <v>1659520</v>
      </c>
    </row>
    <row r="35" spans="2:3" x14ac:dyDescent="0.35">
      <c r="B35" s="8" t="s">
        <v>60</v>
      </c>
      <c r="C35" s="6">
        <v>1780845</v>
      </c>
    </row>
    <row r="36" spans="2:3" x14ac:dyDescent="0.35">
      <c r="B36" s="23" t="s">
        <v>48</v>
      </c>
      <c r="C36" s="22">
        <v>20719567</v>
      </c>
    </row>
    <row r="41" spans="2:3" x14ac:dyDescent="0.35">
      <c r="B41" s="21" t="s">
        <v>65</v>
      </c>
      <c r="C41" s="21" t="s">
        <v>61</v>
      </c>
    </row>
    <row r="42" spans="2:3" x14ac:dyDescent="0.35">
      <c r="B42" s="8" t="s">
        <v>49</v>
      </c>
      <c r="C42" s="6">
        <v>447962.6804436802</v>
      </c>
    </row>
    <row r="43" spans="2:3" x14ac:dyDescent="0.35">
      <c r="B43" s="8" t="s">
        <v>50</v>
      </c>
      <c r="C43" s="6">
        <v>494049.99614274973</v>
      </c>
    </row>
    <row r="44" spans="2:3" x14ac:dyDescent="0.35">
      <c r="B44" s="8" t="s">
        <v>51</v>
      </c>
      <c r="C44" s="6">
        <v>349683.95554071019</v>
      </c>
    </row>
    <row r="45" spans="2:3" x14ac:dyDescent="0.35">
      <c r="B45" s="8" t="s">
        <v>52</v>
      </c>
      <c r="C45" s="6">
        <v>491538.81409161002</v>
      </c>
    </row>
    <row r="46" spans="2:3" x14ac:dyDescent="0.35">
      <c r="B46" s="8" t="s">
        <v>53</v>
      </c>
      <c r="C46" s="6">
        <v>375096.19024713989</v>
      </c>
    </row>
    <row r="47" spans="2:3" x14ac:dyDescent="0.35">
      <c r="B47" s="8" t="s">
        <v>54</v>
      </c>
      <c r="C47" s="6">
        <v>516945.61150312977</v>
      </c>
    </row>
    <row r="48" spans="2:3" x14ac:dyDescent="0.35">
      <c r="B48" s="8" t="s">
        <v>55</v>
      </c>
      <c r="C48" s="6">
        <v>356919.42912419996</v>
      </c>
    </row>
    <row r="49" spans="2:3" x14ac:dyDescent="0.35">
      <c r="B49" s="8" t="s">
        <v>56</v>
      </c>
      <c r="C49" s="6">
        <v>471548.28161273996</v>
      </c>
    </row>
    <row r="50" spans="2:3" x14ac:dyDescent="0.35">
      <c r="B50" s="8" t="s">
        <v>57</v>
      </c>
      <c r="C50" s="6">
        <v>353099.70154519996</v>
      </c>
    </row>
    <row r="51" spans="2:3" x14ac:dyDescent="0.35">
      <c r="B51" s="8" t="s">
        <v>58</v>
      </c>
      <c r="C51" s="6">
        <v>460627.56075333076</v>
      </c>
    </row>
    <row r="52" spans="2:3" x14ac:dyDescent="0.35">
      <c r="B52" s="8" t="s">
        <v>59</v>
      </c>
      <c r="C52" s="6">
        <v>435120.02455867018</v>
      </c>
    </row>
    <row r="53" spans="2:3" x14ac:dyDescent="0.35">
      <c r="B53" s="8" t="s">
        <v>60</v>
      </c>
      <c r="C53" s="6">
        <v>472714.82777063997</v>
      </c>
    </row>
    <row r="54" spans="2:3" x14ac:dyDescent="0.35">
      <c r="B54" s="23" t="s">
        <v>48</v>
      </c>
      <c r="C54" s="22">
        <v>5225307.0733338008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workbookViewId="0">
      <selection activeCell="L10" sqref="L10"/>
    </sheetView>
  </sheetViews>
  <sheetFormatPr defaultRowHeight="14.5" x14ac:dyDescent="0.35"/>
  <cols>
    <col min="1" max="1" width="10.7265625" customWidth="1"/>
    <col min="2" max="2" width="16.08984375" bestFit="1" customWidth="1"/>
  </cols>
  <sheetData>
    <row r="3" spans="1:2" x14ac:dyDescent="0.35">
      <c r="A3" s="7" t="s">
        <v>65</v>
      </c>
      <c r="B3" t="s">
        <v>63</v>
      </c>
    </row>
    <row r="4" spans="1:2" x14ac:dyDescent="0.35">
      <c r="A4" s="18" t="s">
        <v>69</v>
      </c>
      <c r="B4" s="6"/>
    </row>
    <row r="5" spans="1:2" x14ac:dyDescent="0.35">
      <c r="A5" s="25" t="s">
        <v>49</v>
      </c>
      <c r="B5" s="6">
        <v>1733</v>
      </c>
    </row>
    <row r="6" spans="1:2" x14ac:dyDescent="0.35">
      <c r="A6" s="25" t="s">
        <v>50</v>
      </c>
      <c r="B6" s="6">
        <v>1770</v>
      </c>
    </row>
    <row r="7" spans="1:2" x14ac:dyDescent="0.35">
      <c r="A7" s="25" t="s">
        <v>51</v>
      </c>
      <c r="B7" s="6">
        <v>1271</v>
      </c>
    </row>
    <row r="8" spans="1:2" x14ac:dyDescent="0.35">
      <c r="A8" s="18" t="s">
        <v>70</v>
      </c>
      <c r="B8" s="6"/>
    </row>
    <row r="9" spans="1:2" x14ac:dyDescent="0.35">
      <c r="A9" s="25" t="s">
        <v>52</v>
      </c>
      <c r="B9" s="6">
        <v>1754</v>
      </c>
    </row>
    <row r="10" spans="1:2" x14ac:dyDescent="0.35">
      <c r="A10" s="25" t="s">
        <v>53</v>
      </c>
      <c r="B10" s="6">
        <v>1592</v>
      </c>
    </row>
    <row r="11" spans="1:2" x14ac:dyDescent="0.35">
      <c r="A11" s="25" t="s">
        <v>54</v>
      </c>
      <c r="B11" s="6">
        <v>1664</v>
      </c>
    </row>
    <row r="12" spans="1:2" x14ac:dyDescent="0.35">
      <c r="A12" s="18" t="s">
        <v>71</v>
      </c>
      <c r="B12" s="6"/>
    </row>
    <row r="13" spans="1:2" x14ac:dyDescent="0.35">
      <c r="A13" s="25" t="s">
        <v>55</v>
      </c>
      <c r="B13" s="6">
        <v>1424</v>
      </c>
    </row>
    <row r="14" spans="1:2" x14ac:dyDescent="0.35">
      <c r="A14" s="25" t="s">
        <v>56</v>
      </c>
      <c r="B14" s="6">
        <v>1838</v>
      </c>
    </row>
    <row r="15" spans="1:2" x14ac:dyDescent="0.35">
      <c r="A15" s="25" t="s">
        <v>57</v>
      </c>
      <c r="B15" s="6">
        <v>1508</v>
      </c>
    </row>
    <row r="16" spans="1:2" x14ac:dyDescent="0.35">
      <c r="A16" s="18" t="s">
        <v>72</v>
      </c>
      <c r="B16" s="6"/>
    </row>
    <row r="17" spans="1:2" x14ac:dyDescent="0.35">
      <c r="A17" s="25" t="s">
        <v>58</v>
      </c>
      <c r="B17" s="6">
        <v>1664</v>
      </c>
    </row>
    <row r="18" spans="1:2" x14ac:dyDescent="0.35">
      <c r="A18" s="25" t="s">
        <v>59</v>
      </c>
      <c r="B18" s="6">
        <v>1522</v>
      </c>
    </row>
    <row r="19" spans="1:2" x14ac:dyDescent="0.35">
      <c r="A19" s="25" t="s">
        <v>60</v>
      </c>
      <c r="B19" s="6">
        <v>1664</v>
      </c>
    </row>
    <row r="20" spans="1:2" x14ac:dyDescent="0.35">
      <c r="A20" s="18" t="s">
        <v>48</v>
      </c>
      <c r="B20" s="6">
        <v>19404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7"/>
  <sheetViews>
    <sheetView workbookViewId="0">
      <selection activeCell="I10" sqref="I10"/>
    </sheetView>
  </sheetViews>
  <sheetFormatPr defaultRowHeight="14.5" x14ac:dyDescent="0.35"/>
  <cols>
    <col min="1" max="1" width="10.7265625" bestFit="1" customWidth="1"/>
    <col min="2" max="2" width="14.36328125" bestFit="1" customWidth="1"/>
    <col min="3" max="3" width="11.81640625" bestFit="1" customWidth="1"/>
    <col min="7" max="7" width="10.26953125" customWidth="1"/>
  </cols>
  <sheetData>
    <row r="3" spans="1:9" x14ac:dyDescent="0.35">
      <c r="A3" s="7" t="s">
        <v>6</v>
      </c>
      <c r="B3" t="s">
        <v>46</v>
      </c>
      <c r="C3" t="s">
        <v>61</v>
      </c>
      <c r="D3" s="19" t="s">
        <v>66</v>
      </c>
      <c r="G3" s="19" t="s">
        <v>67</v>
      </c>
      <c r="H3" s="19" t="s">
        <v>7</v>
      </c>
      <c r="I3" s="19" t="s">
        <v>66</v>
      </c>
    </row>
    <row r="4" spans="1:9" x14ac:dyDescent="0.35">
      <c r="A4" s="18" t="s">
        <v>13</v>
      </c>
      <c r="B4" s="6">
        <v>5371991</v>
      </c>
      <c r="C4" s="6">
        <v>1402343.5075394099</v>
      </c>
      <c r="D4" s="10">
        <f>C4:C6/B4:B6</f>
        <v>0.26104725557794306</v>
      </c>
      <c r="E4" s="5"/>
      <c r="G4" s="18" t="s">
        <v>13</v>
      </c>
      <c r="H4" s="6">
        <v>5371991</v>
      </c>
      <c r="I4" s="20">
        <f>C3:C7/B3:B7</f>
        <v>0.26104725557794306</v>
      </c>
    </row>
    <row r="5" spans="1:9" x14ac:dyDescent="0.35">
      <c r="A5" s="18" t="s">
        <v>19</v>
      </c>
      <c r="B5" s="6">
        <v>10603574</v>
      </c>
      <c r="C5" s="6">
        <v>2605757.3317884598</v>
      </c>
      <c r="D5" s="10">
        <f t="shared" ref="D5:D7" si="0">C5:C7/B5:B7</f>
        <v>0.24574330615210116</v>
      </c>
      <c r="G5" s="18" t="s">
        <v>19</v>
      </c>
      <c r="H5" s="6">
        <v>10603574</v>
      </c>
      <c r="I5" s="20">
        <f t="shared" ref="I5:I6" si="1">C4:C8/B4:B8</f>
        <v>0.24574330615210116</v>
      </c>
    </row>
    <row r="6" spans="1:9" x14ac:dyDescent="0.35">
      <c r="A6" s="18" t="s">
        <v>16</v>
      </c>
      <c r="B6" s="6">
        <v>4744002</v>
      </c>
      <c r="C6" s="6">
        <v>1217206.2340059301</v>
      </c>
      <c r="D6" s="10">
        <f t="shared" si="0"/>
        <v>0.25657793441190163</v>
      </c>
      <c r="G6" s="18" t="s">
        <v>16</v>
      </c>
      <c r="H6" s="6">
        <v>4744002</v>
      </c>
      <c r="I6" s="20">
        <f t="shared" si="1"/>
        <v>0.25657793441190163</v>
      </c>
    </row>
    <row r="7" spans="1:9" x14ac:dyDescent="0.35">
      <c r="A7" s="18" t="s">
        <v>48</v>
      </c>
      <c r="B7" s="6">
        <v>20719567</v>
      </c>
      <c r="C7" s="6">
        <v>5225307.0733337998</v>
      </c>
      <c r="D7" s="10">
        <f t="shared" si="0"/>
        <v>0.25219190503999434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M6"/>
  <sheetViews>
    <sheetView showGridLines="0" showRowColHeaders="0" tabSelected="1" zoomScale="89" zoomScaleNormal="89" workbookViewId="0">
      <selection activeCell="T20" sqref="T20"/>
    </sheetView>
  </sheetViews>
  <sheetFormatPr defaultRowHeight="14.5" x14ac:dyDescent="0.35"/>
  <cols>
    <col min="9" max="9" width="13.08984375" bestFit="1" customWidth="1"/>
  </cols>
  <sheetData>
    <row r="5" spans="5:13" x14ac:dyDescent="0.35">
      <c r="L5" s="10"/>
    </row>
    <row r="6" spans="5:13" ht="18.5" x14ac:dyDescent="0.45">
      <c r="E6" s="29">
        <f>GETPIVOTDATA("Sum of Revenue",Sheet1!$A$3)</f>
        <v>20719567</v>
      </c>
      <c r="F6" s="29"/>
      <c r="I6" s="28">
        <f>GETPIVOTDATA("Sum of Profit",Sheet1!$A$3)</f>
        <v>5225307.0733338008</v>
      </c>
      <c r="M6" s="30">
        <f>Sheet2!F17</f>
        <v>0.25219190503999434</v>
      </c>
    </row>
  </sheetData>
  <mergeCells count="1">
    <mergeCell ref="E6:F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global_sales</vt:lpstr>
      <vt:lpstr>Sheet1</vt:lpstr>
      <vt:lpstr>Sheet2</vt:lpstr>
      <vt:lpstr>demand</vt:lpstr>
      <vt:lpstr>prioritization</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2026-01-26T18:33:44Z</dcterms:created>
  <dcterms:modified xsi:type="dcterms:W3CDTF">2026-02-03T11:27:50Z</dcterms:modified>
</cp:coreProperties>
</file>